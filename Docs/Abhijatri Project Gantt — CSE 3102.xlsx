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Gantt" sheetId="1" r:id="rId5"/>
  </sheets>
  <definedNames>
    <definedName hidden="1" localSheetId="0" name="_xlnm._FilterDatabase">'Project Gantt'!$A$4:$N$78</definedName>
  </definedNames>
  <calcPr/>
</workbook>
</file>

<file path=xl/sharedStrings.xml><?xml version="1.0" encoding="utf-8"?>
<sst xmlns="http://schemas.openxmlformats.org/spreadsheetml/2006/main" count="857" uniqueCount="441">
  <si>
    <t xml:space="preserve">Abhijatri:Execution Gantt Chart </t>
  </si>
  <si>
    <t>CSE 3102 • ChoturMatra • M1: 2 Nov • 50–60%: 7 Dec • Testing: 4–11 Jan • Final: 17/18 Jan</t>
  </si>
  <si>
    <t>Fixed milestone dates; early completion is allowed. Work is balanced by role.</t>
  </si>
  <si>
    <t>■ Scheduled task     ◆ Gate / milestone     Update Status as work progresses.</t>
  </si>
  <si>
    <t>ID</t>
  </si>
  <si>
    <t>Phase</t>
  </si>
  <si>
    <t>Type</t>
  </si>
  <si>
    <t>Workstream</t>
  </si>
  <si>
    <t>Task / Deliverable</t>
  </si>
  <si>
    <t>Primary Owner</t>
  </si>
  <si>
    <t>Support</t>
  </si>
  <si>
    <t>Effort</t>
  </si>
  <si>
    <t>Start</t>
  </si>
  <si>
    <t>End</t>
  </si>
  <si>
    <t>Depends On</t>
  </si>
  <si>
    <t>Status</t>
  </si>
  <si>
    <t>Acceptance / Evidence</t>
  </si>
  <si>
    <t>Risk / Notes</t>
  </si>
  <si>
    <t>F01</t>
  </si>
  <si>
    <t>Foundation</t>
  </si>
  <si>
    <t>Task</t>
  </si>
  <si>
    <t>Scope</t>
  </si>
  <si>
    <t>Freeze first-release scope and acceptance gates</t>
  </si>
  <si>
    <t>Shahriar Islam</t>
  </si>
  <si>
    <t>All</t>
  </si>
  <si>
    <t/>
  </si>
  <si>
    <t>Not started</t>
  </si>
  <si>
    <t>Approved scope and definition of done</t>
  </si>
  <si>
    <t>Do not add cost estimator before M1</t>
  </si>
  <si>
    <t>F02</t>
  </si>
  <si>
    <t>Architecture</t>
  </si>
  <si>
    <t>Define architecture, database schema and API contract</t>
  </si>
  <si>
    <t>Syed Muhtasim Alam</t>
  </si>
  <si>
    <t>Abdullah, Shahriar</t>
  </si>
  <si>
    <t>Versioned API contract and ERD reviewed</t>
  </si>
  <si>
    <t>Resolve auth/offline boundaries early</t>
  </si>
  <si>
    <t>F03</t>
  </si>
  <si>
    <t>UX and i18n</t>
  </si>
  <si>
    <t>Create bilingual information architecture and UI component plan</t>
  </si>
  <si>
    <t>Abdullah Bin Sorwar Choudhury</t>
  </si>
  <si>
    <t>Shahriar</t>
  </si>
  <si>
    <t>Bangla-default flows and component map approved</t>
  </si>
  <si>
    <t>Use system font fallback</t>
  </si>
  <si>
    <t>F04</t>
  </si>
  <si>
    <t>Quality</t>
  </si>
  <si>
    <t>Create master test plan and requirement traceability matrix</t>
  </si>
  <si>
    <t>Md. Irfan Iqbal</t>
  </si>
  <si>
    <t>Every M1 requirement mapped to test IDs</t>
  </si>
  <si>
    <t>Include offline and role tests</t>
  </si>
  <si>
    <t>F05</t>
  </si>
  <si>
    <t>Content</t>
  </si>
  <si>
    <t>Define source/date/licence template for destinations</t>
  </si>
  <si>
    <t>Irfan</t>
  </si>
  <si>
    <t>Template captures source, date, language and licence</t>
  </si>
  <si>
    <t>No scraped images</t>
  </si>
  <si>
    <t>F06</t>
  </si>
  <si>
    <t>Engineering</t>
  </si>
  <si>
    <t>Set up repositories, CI checks and shared environments</t>
  </si>
  <si>
    <t>Abdullah</t>
  </si>
  <si>
    <t>Frontend/backend build and test in CI</t>
  </si>
  <si>
    <t>Document environment variables</t>
  </si>
  <si>
    <t>F07</t>
  </si>
  <si>
    <t>Security</t>
  </si>
  <si>
    <t>Create privacy, access-control and cache-safety checklist</t>
  </si>
  <si>
    <t>Muhtasim</t>
  </si>
  <si>
    <t>Checklist covers private data and public caches</t>
  </si>
  <si>
    <t>No raw NID in M1</t>
  </si>
  <si>
    <t>R01</t>
  </si>
  <si>
    <t>M1: Destination + Reviews</t>
  </si>
  <si>
    <t>Prepare one complete bilingual seeded destination</t>
  </si>
  <si>
    <t>Source-dated Bangla/English content and contacts pass review</t>
  </si>
  <si>
    <t>One complete destination before adding more</t>
  </si>
  <si>
    <t>R02</t>
  </si>
  <si>
    <t>Destination API</t>
  </si>
  <si>
    <t>Build destination, advisory and contact data services</t>
  </si>
  <si>
    <t>F02,R01</t>
  </si>
  <si>
    <t>Validated list/detail endpoints with tests</t>
  </si>
  <si>
    <t>Expired advisories not shown as current</t>
  </si>
  <si>
    <t>R03</t>
  </si>
  <si>
    <t>Destination UI</t>
  </si>
  <si>
    <t>Build bilingual destination list and detail screens</t>
  </si>
  <si>
    <t>F03,R02</t>
  </si>
  <si>
    <t>Bangla-default pages with loading/error/empty states</t>
  </si>
  <si>
    <t>English switch preserves context</t>
  </si>
  <si>
    <t>R04</t>
  </si>
  <si>
    <t>Authentication API</t>
  </si>
  <si>
    <t>Implement registration, email verification, sign-in/out and reset</t>
  </si>
  <si>
    <t>F02,F07</t>
  </si>
  <si>
    <t>Verified users can review; role checks tested</t>
  </si>
  <si>
    <t>Use sandbox email if needed</t>
  </si>
  <si>
    <t>R05</t>
  </si>
  <si>
    <t>Authentication UI</t>
  </si>
  <si>
    <t>Build account, verification and session screens</t>
  </si>
  <si>
    <t>Accessible success/error/expired-token flows</t>
  </si>
  <si>
    <t>Private responses never enter public cache</t>
  </si>
  <si>
    <t>R06</t>
  </si>
  <si>
    <t>Review rules</t>
  </si>
  <si>
    <t>Finalize review fields, lifecycle and moderation policy</t>
  </si>
  <si>
    <t>Irfan, Muhtasim</t>
  </si>
  <si>
    <t>F01,F04</t>
  </si>
  <si>
    <t>Pending/published/hidden/rejected/deleted rules documented</t>
  </si>
  <si>
    <t>Rating uses published overall ratings only</t>
  </si>
  <si>
    <t>R07</t>
  </si>
  <si>
    <t>Review API</t>
  </si>
  <si>
    <t>Implement structured review CRUD, ownership and pagination</t>
  </si>
  <si>
    <t>R04,R06</t>
  </si>
  <si>
    <t>Create/read/edit/delete paths pass permission tests</t>
  </si>
  <si>
    <t>Safe text rendering and validation</t>
  </si>
  <si>
    <t>R08</t>
  </si>
  <si>
    <t>Rating service</t>
  </si>
  <si>
    <t>Implement Bayesian score and rating exclusion logic</t>
  </si>
  <si>
    <t>Fixed prior documented; hidden/rejected excluded</t>
  </si>
  <si>
    <t>Display review count with score</t>
  </si>
  <si>
    <t>R09</t>
  </si>
  <si>
    <t>Review UI</t>
  </si>
  <si>
    <t>Build review form, list, filters and author controls</t>
  </si>
  <si>
    <t>R05,R07</t>
  </si>
  <si>
    <t>Verified user completes review lifecycle</t>
  </si>
  <si>
    <t>Reviews remain in submitted language</t>
  </si>
  <si>
    <t>R10</t>
  </si>
  <si>
    <t>Moderation UI</t>
  </si>
  <si>
    <t>Build moderation queue, reason capture and audit view</t>
  </si>
  <si>
    <t>Abdullah, Muhtasim</t>
  </si>
  <si>
    <t>R06,R07</t>
  </si>
  <si>
    <t>Moderator can approve/hide/reject with reason</t>
  </si>
  <si>
    <t>Admin decisions are traceable</t>
  </si>
  <si>
    <t>R11</t>
  </si>
  <si>
    <t>Reporting API</t>
  </si>
  <si>
    <t>Implement review reporting, moderation actions and audit log</t>
  </si>
  <si>
    <t>Shahriar, Irfan</t>
  </si>
  <si>
    <t>R07,R10</t>
  </si>
  <si>
    <t>Report-to-decision flow and audit tests pass</t>
  </si>
  <si>
    <t>Duplicate reports handled</t>
  </si>
  <si>
    <t>R12</t>
  </si>
  <si>
    <t>Offline foundation</t>
  </si>
  <si>
    <t>Create installable PWA shell and cache public destination views</t>
  </si>
  <si>
    <t>Selected page reopens on real phone in airplane mode</t>
  </si>
  <si>
    <t>No private API caching</t>
  </si>
  <si>
    <t>R13</t>
  </si>
  <si>
    <t>Offline pack</t>
  </si>
  <si>
    <t>Store versioned destination pack and published-review snapshot in IndexedDB</t>
  </si>
  <si>
    <t>R12,R14</t>
  </si>
  <si>
    <t>Download/open/delete/freshness states work offline</t>
  </si>
  <si>
    <t>Request persistent storage; handle refusal</t>
  </si>
  <si>
    <t>R14</t>
  </si>
  <si>
    <t>Offline API</t>
  </si>
  <si>
    <t>Implement pack manifest, version and freshness endpoints</t>
  </si>
  <si>
    <t>Pack exposes version, generated date and public content</t>
  </si>
  <si>
    <t>Cache invalidation documented</t>
  </si>
  <si>
    <t>R15</t>
  </si>
  <si>
    <t>Offline drafts</t>
  </si>
  <si>
    <t>Implement offline review drafts and idempotent reconnect submission</t>
  </si>
  <si>
    <t>Muhtasim, Irfan</t>
  </si>
  <si>
    <t>R09,R13,R16</t>
  </si>
  <si>
    <t>Retry never creates duplicate review</t>
  </si>
  <si>
    <t>Published-review edits remain online-only</t>
  </si>
  <si>
    <t>R16</t>
  </si>
  <si>
    <t>Idempotency API</t>
  </si>
  <si>
    <t>Implement server-side idempotency-key storage and expiry</t>
  </si>
  <si>
    <t>Unique constraint and retry tests pass</t>
  </si>
  <si>
    <t>Document expiry policy</t>
  </si>
  <si>
    <t>R17</t>
  </si>
  <si>
    <t>Functional QA</t>
  </si>
  <si>
    <t>Execute account, review, moderation and rating tests</t>
  </si>
  <si>
    <t>R04,R07,R11</t>
  </si>
  <si>
    <t>Pass/fail evidence and defect records complete</t>
  </si>
  <si>
    <t>Retest critical fixes</t>
  </si>
  <si>
    <t>R18</t>
  </si>
  <si>
    <t>Offline QA</t>
  </si>
  <si>
    <t>Test airplane mode, weak network, Bangla and storage failure</t>
  </si>
  <si>
    <t>R12,R13,R15</t>
  </si>
  <si>
    <t>Real-device evidence for download/open/reconnect</t>
  </si>
  <si>
    <t>Include denied persistence and stale pack</t>
  </si>
  <si>
    <t>R19</t>
  </si>
  <si>
    <t>Release coordination</t>
  </si>
  <si>
    <t>Run integration, defect triage and scope control</t>
  </si>
  <si>
    <t>R03,R11,R13</t>
  </si>
  <si>
    <t>No blocker in destination-review-offline flow</t>
  </si>
  <si>
    <t>Cut quantity before lifecycle</t>
  </si>
  <si>
    <t>R20</t>
  </si>
  <si>
    <t>Acceptance QA</t>
  </si>
  <si>
    <t>Run M1 acceptance regression and prepare test summary</t>
  </si>
  <si>
    <t>R17,R18,R19</t>
  </si>
  <si>
    <t>Signed acceptance checklist and known limitations</t>
  </si>
  <si>
    <t>Evidence linked by test ID</t>
  </si>
  <si>
    <t>M1</t>
  </si>
  <si>
    <t>Milestone</t>
  </si>
  <si>
    <t>Gate</t>
  </si>
  <si>
    <t>Major feature accepted: destination + reviews + bilingual offline support</t>
  </si>
  <si>
    <t>End-to-end demonstration succeeds</t>
  </si>
  <si>
    <t>Fixed milestone</t>
  </si>
  <si>
    <t>E01</t>
  </si>
  <si>
    <t>M2: Estimator + 55%</t>
  </si>
  <si>
    <t>Estimator design</t>
  </si>
  <si>
    <t>Freeze rule engine, pricing units, confidence and scope</t>
  </si>
  <si>
    <t>Rule specification and worked examples approved</t>
  </si>
  <si>
    <t>No ML</t>
  </si>
  <si>
    <t>E02</t>
  </si>
  <si>
    <t>Seed research</t>
  </si>
  <si>
    <t>Research destination A prices and advisories</t>
  </si>
  <si>
    <t>Source/date/unit/tier/season recorded</t>
  </si>
  <si>
    <t>Validation trips excluded</t>
  </si>
  <si>
    <t>E03</t>
  </si>
  <si>
    <t>Research destination B prices and advisories</t>
  </si>
  <si>
    <t>E04</t>
  </si>
  <si>
    <t>Research destination C prices and advisories</t>
  </si>
  <si>
    <t>E05</t>
  </si>
  <si>
    <t>Research destination D prices and advisories</t>
  </si>
  <si>
    <t>Independent source/date/unit/tier/season review</t>
  </si>
  <si>
    <t>Validation trips remain sealed</t>
  </si>
  <si>
    <t>E06</t>
  </si>
  <si>
    <t>Pricing catalogue</t>
  </si>
  <si>
    <t>Implement pricing catalogue, units, season and freshness model</t>
  </si>
  <si>
    <t>E01,E02,E03,E04,E05</t>
  </si>
  <si>
    <t>Per-person/room/vehicle/group/day rules tested</t>
  </si>
  <si>
    <t>Official fixed prices take priority</t>
  </si>
  <si>
    <t>E07</t>
  </si>
  <si>
    <t>Estimator API</t>
  </si>
  <si>
    <t>Implement itemized rule engine and confidence calculation</t>
  </si>
  <si>
    <t>Representative hand calculations match API</t>
  </si>
  <si>
    <t>Stale flagged; expired excluded</t>
  </si>
  <si>
    <t>E08</t>
  </si>
  <si>
    <t>Estimator UI</t>
  </si>
  <si>
    <t>Build traveller-context input and itemized result screens</t>
  </si>
  <si>
    <t>E01,E07</t>
  </si>
  <si>
    <t>Shows assumptions, sources, dates and confidence</t>
  </si>
  <si>
    <t>Works in Bangla and English</t>
  </si>
  <si>
    <t>E09</t>
  </si>
  <si>
    <t>Saved trip brief</t>
  </si>
  <si>
    <t>Save estimate, notes and optional contacts; include in offline pack</t>
  </si>
  <si>
    <t>E08,R13</t>
  </si>
  <si>
    <t>Reopen/copy/delete works online and offline</t>
  </si>
  <si>
    <t>Not a day-by-day itinerary</t>
  </si>
  <si>
    <t>E10</t>
  </si>
  <si>
    <t>Admin data</t>
  </si>
  <si>
    <t>Build minimal price/advisory maintenance interface</t>
  </si>
  <si>
    <t>Admin can update source, date and expiry</t>
  </si>
  <si>
    <t>Audit actor and timestamp retained</t>
  </si>
  <si>
    <t>E11</t>
  </si>
  <si>
    <t>Estimator QA</t>
  </si>
  <si>
    <t>Create hand-calculated scenarios, baseline and held-out protocol</t>
  </si>
  <si>
    <t>Test dataset separated from seed data</t>
  </si>
  <si>
    <t>Baseline does not use held-out trips</t>
  </si>
  <si>
    <t>E12</t>
  </si>
  <si>
    <t>Execute calculation, stale-data and confidence tests</t>
  </si>
  <si>
    <t>E07,E11</t>
  </si>
  <si>
    <t>All pricing units and edge cases recorded</t>
  </si>
  <si>
    <t>Compare representative output to baseline</t>
  </si>
  <si>
    <t>E13</t>
  </si>
  <si>
    <t>Integration</t>
  </si>
  <si>
    <t>Integrate estimator, saved brief, review and offline flows</t>
  </si>
  <si>
    <t>Muhtasim, Shahriar</t>
  </si>
  <si>
    <t>E08,E09,E10</t>
  </si>
  <si>
    <t>One continuous user journey passes</t>
  </si>
  <si>
    <t>No regression in M1</t>
  </si>
  <si>
    <t>E14</t>
  </si>
  <si>
    <t>Run progress audit, defect triage and evidence pack</t>
  </si>
  <si>
    <t>E10,E12,E13</t>
  </si>
  <si>
    <t>Acceptance checklist demonstrates 50-60% scope</t>
  </si>
  <si>
    <t>Deferred items documented</t>
  </si>
  <si>
    <t>M2</t>
  </si>
  <si>
    <t>Significant progress checkpoint: 50-60% complete</t>
  </si>
  <si>
    <t>Instructor-ready integrated demonstration</t>
  </si>
  <si>
    <t>H01</t>
  </si>
  <si>
    <t>Hardening</t>
  </si>
  <si>
    <t>Add and quality-check remaining MVP destinations</t>
  </si>
  <si>
    <t>Each destination meets source/date/licence rules</t>
  </si>
  <si>
    <t>Quantity may be cut before quality</t>
  </si>
  <si>
    <t>H02</t>
  </si>
  <si>
    <t>Review UX</t>
  </si>
  <si>
    <t>Improve review transparency, filtering and rating explanation</t>
  </si>
  <si>
    <t>Counts, context and moderation state are clear</t>
  </si>
  <si>
    <t>No sponsorship effect on rating</t>
  </si>
  <si>
    <t>H03</t>
  </si>
  <si>
    <t>Offline reliability</t>
  </si>
  <si>
    <t>Harden cache versioning, invalidation and storage recovery</t>
  </si>
  <si>
    <t>Old packs refresh safely; refusal/eviction handled</t>
  </si>
  <si>
    <t>Test on real Android</t>
  </si>
  <si>
    <t>H04</t>
  </si>
  <si>
    <t>Backend reliability</t>
  </si>
  <si>
    <t>Add pagination, structured errors, logging and retry safety</t>
  </si>
  <si>
    <t>Load/error/idempotency tests pass</t>
  </si>
  <si>
    <t>No sensitive data in logs</t>
  </si>
  <si>
    <t>H05</t>
  </si>
  <si>
    <t>Harden sessions, CSRF/origin policy and role permissions</t>
  </si>
  <si>
    <t>F07,H04</t>
  </si>
  <si>
    <t>Security checklist and negative tests pass</t>
  </si>
  <si>
    <t>Document dev/prod differences</t>
  </si>
  <si>
    <t>H06</t>
  </si>
  <si>
    <t>Administration</t>
  </si>
  <si>
    <t>Polish moderation and source-maintenance workflow</t>
  </si>
  <si>
    <t>E10,H02</t>
  </si>
  <si>
    <t>Admin tasks are usable and auditable</t>
  </si>
  <si>
    <t>Manual verification stated</t>
  </si>
  <si>
    <t>H07</t>
  </si>
  <si>
    <t>Automation QA</t>
  </si>
  <si>
    <t>Expand automated regression and smoke-test suite</t>
  </si>
  <si>
    <t>Core API/UI checks run repeatably</t>
  </si>
  <si>
    <t>Track flaky tests</t>
  </si>
  <si>
    <t>H08</t>
  </si>
  <si>
    <t>Usability QA</t>
  </si>
  <si>
    <t>Run pilot with at least eight consenting participants</t>
  </si>
  <si>
    <t>H01,H02</t>
  </si>
  <si>
    <t>Includes Bangla-preferring and less technical users</t>
  </si>
  <si>
    <t>Retain only necessary study data</t>
  </si>
  <si>
    <t>H09</t>
  </si>
  <si>
    <t>Accessibility</t>
  </si>
  <si>
    <t>Fix keyboard, readability, responsive and Bangla-rendering issues</t>
  </si>
  <si>
    <t>H02,H08</t>
  </si>
  <si>
    <t>Target flows usable on low-end Android</t>
  </si>
  <si>
    <t>Record remaining limitations</t>
  </si>
  <si>
    <t>H10</t>
  </si>
  <si>
    <t>Test readiness</t>
  </si>
  <si>
    <t>Prepare frozen test build, data, environment and procedures</t>
  </si>
  <si>
    <t>H03,H04,H05,H07</t>
  </si>
  <si>
    <t>Versioned build and test briefing ready</t>
  </si>
  <si>
    <t>No untriaged blocker</t>
  </si>
  <si>
    <t>H11</t>
  </si>
  <si>
    <t>Release readiness</t>
  </si>
  <si>
    <t>Prepare deployment, recovery, setup and operator documentation</t>
  </si>
  <si>
    <t>H04,H06</t>
  </si>
  <si>
    <t>Fresh setup and recovery rehearsal succeed</t>
  </si>
  <si>
    <t>Name post-semester data owner</t>
  </si>
  <si>
    <t>G1</t>
  </si>
  <si>
    <t>Testing-entry readiness review</t>
  </si>
  <si>
    <t>H10,H11</t>
  </si>
  <si>
    <t>Build, data, RTM and environment approved</t>
  </si>
  <si>
    <t>No scope additions after gate</t>
  </si>
  <si>
    <t>T01</t>
  </si>
  <si>
    <t>Formal Testing</t>
  </si>
  <si>
    <t>Test control</t>
  </si>
  <si>
    <t>Freeze build and brief testers on data, environment and defects</t>
  </si>
  <si>
    <t>Build ID and briefing record published</t>
  </si>
  <si>
    <t>Changes require defect reference</t>
  </si>
  <si>
    <t>T02</t>
  </si>
  <si>
    <t>Test management</t>
  </si>
  <si>
    <t>Finalize RTM, master register and execution records</t>
  </si>
  <si>
    <t>Every in-scope requirement has test IDs</t>
  </si>
  <si>
    <t>Templates include evidence/retest fields</t>
  </si>
  <si>
    <t>T03</t>
  </si>
  <si>
    <t>Execute destination-estimate-offline-review full flow</t>
  </si>
  <si>
    <t>Actual results and evidence recorded per case</t>
  </si>
  <si>
    <t>Cover reconnect and moderation</t>
  </si>
  <si>
    <t>T04</t>
  </si>
  <si>
    <t>Non-functional QA</t>
  </si>
  <si>
    <t>Execute 2G/3G, airplane, device, accessibility and privacy tests</t>
  </si>
  <si>
    <t>Environment and metrics recorded</t>
  </si>
  <si>
    <t>Private API data not publicly cached</t>
  </si>
  <si>
    <t>T05</t>
  </si>
  <si>
    <t>Frontend fixes</t>
  </si>
  <si>
    <t>Resolve assigned UI, bilingual and offline defects</t>
  </si>
  <si>
    <t>T03,T04</t>
  </si>
  <si>
    <t>Critical/high frontend defects retested</t>
  </si>
  <si>
    <t>No unrelated feature work</t>
  </si>
  <si>
    <t>T06</t>
  </si>
  <si>
    <t>Backend fixes</t>
  </si>
  <si>
    <t>Resolve assigned API, security and data defects</t>
  </si>
  <si>
    <t>Critical/high backend defects retested</t>
  </si>
  <si>
    <t>Migration remains reproducible</t>
  </si>
  <si>
    <t>T07</t>
  </si>
  <si>
    <t>Content/admin fixes</t>
  </si>
  <si>
    <t>Resolve data, advisory and moderation defects</t>
  </si>
  <si>
    <t>Source/freshness/admin defects retested</t>
  </si>
  <si>
    <t>All changes documented</t>
  </si>
  <si>
    <t>T08</t>
  </si>
  <si>
    <t>Regression QA</t>
  </si>
  <si>
    <t>Retest fixes and run affected-flow regression</t>
  </si>
  <si>
    <t>T05,T06,T07</t>
  </si>
  <si>
    <t>No blocker/critical defect in core flow</t>
  </si>
  <si>
    <t>Lower severity documented</t>
  </si>
  <si>
    <t>T09</t>
  </si>
  <si>
    <t>Exit QA</t>
  </si>
  <si>
    <t>Complete SQA summary and exit recommendation</t>
  </si>
  <si>
    <t>Coverage, defects and residual risks reported</t>
  </si>
  <si>
    <t>Formal testing ends 11 Jan</t>
  </si>
  <si>
    <t>M3</t>
  </si>
  <si>
    <t>Formal testing completed</t>
  </si>
  <si>
    <t>Exit criteria approved</t>
  </si>
  <si>
    <t>C01</t>
  </si>
  <si>
    <t>Completion</t>
  </si>
  <si>
    <t>Frontend release</t>
  </si>
  <si>
    <t>Close remaining approved UI defects and freeze client</t>
  </si>
  <si>
    <t>Release candidate has no open blocker</t>
  </si>
  <si>
    <t>Only approved fixes</t>
  </si>
  <si>
    <t>C02</t>
  </si>
  <si>
    <t>Backend release</t>
  </si>
  <si>
    <t>Close remaining approved backend defects and freeze services</t>
  </si>
  <si>
    <t>Migration/deployment/recovery verified</t>
  </si>
  <si>
    <t>C03</t>
  </si>
  <si>
    <t>Content release</t>
  </si>
  <si>
    <t>Freeze destination, price and advisory content</t>
  </si>
  <si>
    <t>Sources and last-updated dates complete</t>
  </si>
  <si>
    <t>Expired items excluded</t>
  </si>
  <si>
    <t>C04</t>
  </si>
  <si>
    <t>Final QA</t>
  </si>
  <si>
    <t>Run release-candidate smoke test and verify evidence archive</t>
  </si>
  <si>
    <t>C01,C02,C03</t>
  </si>
  <si>
    <t>Release candidate and evidence signed off</t>
  </si>
  <si>
    <t>Record residual risks</t>
  </si>
  <si>
    <t>C05</t>
  </si>
  <si>
    <t>Documentation</t>
  </si>
  <si>
    <t>Finalize report, setup guide, limitations and maintenance plan</t>
  </si>
  <si>
    <t>Submission package is internally consistent</t>
  </si>
  <si>
    <t>Post-semester ownership named</t>
  </si>
  <si>
    <t>C06</t>
  </si>
  <si>
    <t>Demonstration</t>
  </si>
  <si>
    <t>Prepare and rehearse timed final demonstration</t>
  </si>
  <si>
    <t>C04,C05</t>
  </si>
  <si>
    <t>Backup demo and recovery path tested</t>
  </si>
  <si>
    <t>Each member owns a segment</t>
  </si>
  <si>
    <t>C07</t>
  </si>
  <si>
    <t>Delivery support</t>
  </si>
  <si>
    <t>Prepare stable demo build and backup deployment</t>
  </si>
  <si>
    <t>C02,C04</t>
  </si>
  <si>
    <t>Primary and backup environments verified</t>
  </si>
  <si>
    <t>No live payment dependency</t>
  </si>
  <si>
    <t>C08</t>
  </si>
  <si>
    <t>Presentation UI</t>
  </si>
  <si>
    <t>Prepare final screenshots and bilingual demo data</t>
  </si>
  <si>
    <t>C01,C03</t>
  </si>
  <si>
    <t>Screens and data match release candidate</t>
  </si>
  <si>
    <t>No fake live claims</t>
  </si>
  <si>
    <t>M4</t>
  </si>
  <si>
    <t>Final project completion</t>
  </si>
  <si>
    <t>C04,C06,C07,C08</t>
  </si>
  <si>
    <t>Project completed by 17/18 Jan 2027</t>
  </si>
  <si>
    <t>Workload balance — primary-owner effort points</t>
  </si>
  <si>
    <t>Owner</t>
  </si>
  <si>
    <t>Role</t>
  </si>
  <si>
    <t>Primary tasks</t>
  </si>
  <si>
    <t>Effort points</t>
  </si>
  <si>
    <t>Share</t>
  </si>
  <si>
    <t>Balance check</t>
  </si>
  <si>
    <t>Target</t>
  </si>
  <si>
    <t>Project leader / content / moderation</t>
  </si>
  <si>
    <t>0 points</t>
  </si>
  <si>
    <t>Frontend / bilingual / offline</t>
  </si>
  <si>
    <t>Backend / data / security</t>
  </si>
  <si>
    <t>SQA / test management</t>
  </si>
  <si>
    <t>Workload note</t>
  </si>
  <si>
    <t>Primary effort is 87 points per member; each member holds 25.0%. Support work is collaborative and is not double-counted.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</si>
</sst>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"/>
    <numFmt numFmtId="165" formatCode="dd mmm yyyy"/>
    <numFmt numFmtId="166" formatCode="0.0%"/>
  </numFmts>
  <fonts count="10">
    <font>
      <sz val="11.0"/>
      <color rgb="FF000000"/>
      <name val="Carlito"/>
      <scheme val="minor"/>
    </font>
    <font>
      <b/>
      <sz val="16.0"/>
      <color rgb="FF113860"/>
      <name val="Arial"/>
    </font>
    <font>
      <b/>
      <sz val="18.0"/>
      <color rgb="FF113860"/>
      <name val="Arial"/>
    </font>
    <font>
      <sz val="10.0"/>
      <color rgb="FF596372"/>
      <name val="Arial"/>
    </font>
    <font>
      <i/>
      <sz val="9.0"/>
      <color rgb="FF3F4F60"/>
      <name val="Arial"/>
    </font>
    <font>
      <b/>
      <sz val="9.0"/>
      <color rgb="FFFFFFFF"/>
      <name val="Arial"/>
    </font>
    <font>
      <sz val="9.0"/>
      <color rgb="FF1E2838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F4F9"/>
        <bgColor rgb="FFEFF4F9"/>
      </patternFill>
    </fill>
    <fill>
      <patternFill patternType="solid">
        <fgColor rgb="FF16385B"/>
        <bgColor rgb="FF16385B"/>
      </patternFill>
    </fill>
    <fill>
      <patternFill patternType="solid">
        <fgColor rgb="FFE0EAF4"/>
        <bgColor rgb="FFE0EAF4"/>
      </patternFill>
    </fill>
  </fills>
  <borders count="2">
    <border/>
    <border>
      <left style="thin">
        <color rgb="FFD1D8E0"/>
      </left>
      <right style="thin">
        <color rgb="FFD1D8E0"/>
      </right>
      <top style="thin">
        <color rgb="FFD1D8E0"/>
      </top>
      <bottom style="thin">
        <color rgb="FFD1D8E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5" numFmtId="164" xfId="0" applyAlignment="1" applyBorder="1" applyFill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3" fontId="8" numFmtId="0" xfId="0" applyAlignment="1" applyFill="1" applyFont="1">
      <alignment readingOrder="0" shrinkToFit="0" vertical="center" wrapText="1"/>
    </xf>
    <xf borderId="0" fillId="3" fontId="8" numFmtId="0" xfId="0" applyAlignment="1" applyFill="1" applyFont="1">
      <alignment shrinkToFit="0" vertical="center" wrapText="1"/>
    </xf>
    <xf borderId="0" fillId="4" fontId="9" numFmtId="0" xfId="0" applyAlignment="1" applyFill="1" applyFont="1">
      <alignment readingOrder="0" shrinkToFit="0" vertical="center" wrapText="1"/>
    </xf>
    <xf borderId="0" fillId="4" fontId="9" numFmtId="0" xfId="0" applyAlignment="1" applyFill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6" xfId="0" applyAlignment="1" applyFont="1" applyNumberFormat="1">
      <alignment shrinkToFit="0" vertical="center" wrapText="1"/>
    </xf>
  </cellXfs>
  <cellStyles count="1">
    <cellStyle xfId="0" name="Normal" builtinId="0"/>
  </cellStyles>
  <dxfs count="8">
    <dxf>
      <font>
        <b/>
        <color rgb="FF990C0C"/>
      </font>
      <fill>
        <patternFill patternType="solid">
          <fgColor rgb="FFF9CCCC"/>
          <bgColor rgb="FFF9CCCC"/>
        </patternFill>
      </fill>
      <border/>
    </dxf>
    <dxf>
      <font>
        <b/>
        <color rgb="FF8C3F05"/>
      </font>
      <fill>
        <patternFill patternType="solid">
          <fgColor rgb="FFFFE5B2"/>
          <bgColor rgb="FFFFE5B2"/>
        </patternFill>
      </fill>
      <border/>
    </dxf>
    <dxf>
      <font>
        <b/>
        <color rgb="FF0C4793"/>
      </font>
      <fill>
        <patternFill patternType="solid">
          <fgColor rgb="FFCCE2F9"/>
          <bgColor rgb="FFCCE2F9"/>
        </patternFill>
      </fill>
      <border/>
    </dxf>
    <dxf>
      <font>
        <b/>
        <color rgb="FF115926"/>
      </font>
      <fill>
        <patternFill patternType="solid">
          <fgColor rgb="FFCCEFD3"/>
          <bgColor rgb="FFCCEFD3"/>
        </patternFill>
      </fill>
      <border/>
    </dxf>
    <dxf>
      <font>
        <b/>
        <color rgb="FF723305"/>
      </font>
      <fill>
        <patternFill patternType="solid">
          <fgColor rgb="FFFCD859"/>
          <bgColor rgb="FFFCD859"/>
        </patternFill>
      </fill>
      <border/>
    </dxf>
    <dxf>
      <font>
        <b/>
        <color rgb="FF0C4793"/>
      </font>
      <fill>
        <patternFill patternType="solid">
          <fgColor rgb="FFC6E0F9"/>
          <bgColor rgb="FFC6E0F9"/>
        </patternFill>
      </fill>
      <border/>
    </dxf>
    <dxf>
      <font>
        <b/>
        <color rgb="FF72470A"/>
      </font>
      <fill>
        <patternFill patternType="solid">
          <fgColor rgb="FFFFF4C6"/>
          <bgColor rgb="FFFFF4C6"/>
        </patternFill>
      </fill>
      <border/>
    </dxf>
    <dxf>
      <font/>
      <fill>
        <patternFill patternType="solid">
          <fgColor rgb="FFF8F9FB"/>
          <bgColor rgb="FFF8F9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7.38"/>
    <col customWidth="1" min="2" max="2" width="18.88"/>
    <col customWidth="1" min="3" max="3" width="10.38"/>
    <col customWidth="1" min="4" max="4" width="15.75"/>
    <col customWidth="1" min="5" max="5" width="37.63"/>
    <col customWidth="1" min="6" max="6" width="23.88"/>
    <col customWidth="1" min="7" max="7" width="22.63"/>
    <col customWidth="1" min="8" max="8" width="7.63"/>
    <col customWidth="1" min="9" max="10" width="11.63"/>
    <col customWidth="1" min="11" max="11" width="14.5"/>
    <col customWidth="1" min="12" max="12" width="12.63"/>
    <col customWidth="1" min="13" max="13" width="32.63"/>
    <col customWidth="1" min="14" max="14" width="26.38"/>
    <col customWidth="1" min="15" max="29" width="8.63"/>
  </cols>
  <sheetData>
    <row r="1" ht="30.0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3.0" customHeight="1">
      <c r="A2" s="4" t="s">
        <v>1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33.0" customHeight="1">
      <c r="A3" s="6" t="s">
        <v>2</v>
      </c>
      <c r="E3" s="6"/>
      <c r="F3" s="7"/>
      <c r="G3" s="7"/>
      <c r="H3" s="7"/>
      <c r="I3" s="7"/>
      <c r="J3" s="7"/>
      <c r="K3" s="7"/>
      <c r="L3" s="7"/>
      <c r="M3" s="7"/>
      <c r="N3" s="7"/>
      <c r="O3" s="6" t="s">
        <v>3</v>
      </c>
    </row>
    <row r="4" ht="36.0" customHeight="1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9">
        <v>46307.0</v>
      </c>
      <c r="P4" s="9">
        <v>46314.0</v>
      </c>
      <c r="Q4" s="9">
        <v>46321.0</v>
      </c>
      <c r="R4" s="9">
        <v>46328.0</v>
      </c>
      <c r="S4" s="9">
        <v>46335.0</v>
      </c>
      <c r="T4" s="9">
        <v>46342.0</v>
      </c>
      <c r="U4" s="9">
        <v>46349.0</v>
      </c>
      <c r="V4" s="9">
        <v>46356.0</v>
      </c>
      <c r="W4" s="9">
        <v>46363.0</v>
      </c>
      <c r="X4" s="9">
        <v>46370.0</v>
      </c>
      <c r="Y4" s="9">
        <v>46377.0</v>
      </c>
      <c r="Z4" s="9">
        <v>46384.0</v>
      </c>
      <c r="AA4" s="9">
        <v>46391.0</v>
      </c>
      <c r="AB4" s="9">
        <v>46398.0</v>
      </c>
      <c r="AC4" s="9">
        <v>46405.0</v>
      </c>
    </row>
    <row r="5" ht="39.0" customHeight="1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1">
        <v>4.0</v>
      </c>
      <c r="I5" s="12">
        <v>46307.0</v>
      </c>
      <c r="J5" s="12">
        <v>46308.0</v>
      </c>
      <c r="K5" s="10" t="s">
        <v>25</v>
      </c>
      <c r="L5" s="10" t="s">
        <v>26</v>
      </c>
      <c r="M5" s="10" t="s">
        <v>27</v>
      </c>
      <c r="N5" s="10" t="s">
        <v>28</v>
      </c>
      <c r="O5" s="13" t="str">
        <f t="shared" ref="O5:AC5" si="1">IF(AND($I5&lt;=O$4+6,$J5&gt;=O$4),IF(OR($C5="Milestone",$C5="Gate"),"◆","■"),"")</f>
        <v>■</v>
      </c>
      <c r="P5" s="13" t="str">
        <f t="shared" si="1"/>
        <v/>
      </c>
      <c r="Q5" s="13" t="str">
        <f t="shared" si="1"/>
        <v/>
      </c>
      <c r="R5" s="13" t="str">
        <f t="shared" si="1"/>
        <v/>
      </c>
      <c r="S5" s="13" t="str">
        <f t="shared" si="1"/>
        <v/>
      </c>
      <c r="T5" s="13" t="str">
        <f t="shared" si="1"/>
        <v/>
      </c>
      <c r="U5" s="13" t="str">
        <f t="shared" si="1"/>
        <v/>
      </c>
      <c r="V5" s="13" t="str">
        <f t="shared" si="1"/>
        <v/>
      </c>
      <c r="W5" s="13" t="str">
        <f t="shared" si="1"/>
        <v/>
      </c>
      <c r="X5" s="13" t="str">
        <f t="shared" si="1"/>
        <v/>
      </c>
      <c r="Y5" s="13" t="str">
        <f t="shared" si="1"/>
        <v/>
      </c>
      <c r="Z5" s="13" t="str">
        <f t="shared" si="1"/>
        <v/>
      </c>
      <c r="AA5" s="13" t="str">
        <f t="shared" si="1"/>
        <v/>
      </c>
      <c r="AB5" s="13" t="str">
        <f t="shared" si="1"/>
        <v/>
      </c>
      <c r="AC5" s="13" t="str">
        <f t="shared" si="1"/>
        <v/>
      </c>
    </row>
    <row r="6" ht="39.0" customHeight="1">
      <c r="A6" s="10" t="s">
        <v>29</v>
      </c>
      <c r="B6" s="10" t="s">
        <v>19</v>
      </c>
      <c r="C6" s="10" t="s">
        <v>20</v>
      </c>
      <c r="D6" s="10" t="s">
        <v>30</v>
      </c>
      <c r="E6" s="10" t="s">
        <v>31</v>
      </c>
      <c r="F6" s="10" t="s">
        <v>32</v>
      </c>
      <c r="G6" s="10" t="s">
        <v>33</v>
      </c>
      <c r="H6" s="11">
        <v>6.0</v>
      </c>
      <c r="I6" s="12">
        <v>46307.0</v>
      </c>
      <c r="J6" s="12">
        <v>46309.0</v>
      </c>
      <c r="K6" s="10" t="s">
        <v>18</v>
      </c>
      <c r="L6" s="10" t="s">
        <v>26</v>
      </c>
      <c r="M6" s="10" t="s">
        <v>34</v>
      </c>
      <c r="N6" s="10" t="s">
        <v>35</v>
      </c>
      <c r="O6" s="13" t="str">
        <f t="shared" ref="O6:AC6" si="2">IF(AND($I6&lt;=O$4+6,$J6&gt;=O$4),IF(OR($C6="Milestone",$C6="Gate"),"◆","■"),"")</f>
        <v>■</v>
      </c>
      <c r="P6" s="13" t="str">
        <f t="shared" si="2"/>
        <v/>
      </c>
      <c r="Q6" s="13" t="str">
        <f t="shared" si="2"/>
        <v/>
      </c>
      <c r="R6" s="13" t="str">
        <f t="shared" si="2"/>
        <v/>
      </c>
      <c r="S6" s="13" t="str">
        <f t="shared" si="2"/>
        <v/>
      </c>
      <c r="T6" s="13" t="str">
        <f t="shared" si="2"/>
        <v/>
      </c>
      <c r="U6" s="13" t="str">
        <f t="shared" si="2"/>
        <v/>
      </c>
      <c r="V6" s="13" t="str">
        <f t="shared" si="2"/>
        <v/>
      </c>
      <c r="W6" s="13" t="str">
        <f t="shared" si="2"/>
        <v/>
      </c>
      <c r="X6" s="13" t="str">
        <f t="shared" si="2"/>
        <v/>
      </c>
      <c r="Y6" s="13" t="str">
        <f t="shared" si="2"/>
        <v/>
      </c>
      <c r="Z6" s="13" t="str">
        <f t="shared" si="2"/>
        <v/>
      </c>
      <c r="AA6" s="13" t="str">
        <f t="shared" si="2"/>
        <v/>
      </c>
      <c r="AB6" s="13" t="str">
        <f t="shared" si="2"/>
        <v/>
      </c>
      <c r="AC6" s="13" t="str">
        <f t="shared" si="2"/>
        <v/>
      </c>
    </row>
    <row r="7" ht="39.0" customHeight="1">
      <c r="A7" s="10" t="s">
        <v>36</v>
      </c>
      <c r="B7" s="10" t="s">
        <v>19</v>
      </c>
      <c r="C7" s="10" t="s">
        <v>20</v>
      </c>
      <c r="D7" s="10" t="s">
        <v>37</v>
      </c>
      <c r="E7" s="10" t="s">
        <v>38</v>
      </c>
      <c r="F7" s="10" t="s">
        <v>39</v>
      </c>
      <c r="G7" s="10" t="s">
        <v>40</v>
      </c>
      <c r="H7" s="11">
        <v>4.0</v>
      </c>
      <c r="I7" s="12">
        <v>46307.0</v>
      </c>
      <c r="J7" s="12">
        <v>46309.0</v>
      </c>
      <c r="K7" s="10" t="s">
        <v>18</v>
      </c>
      <c r="L7" s="10" t="s">
        <v>26</v>
      </c>
      <c r="M7" s="10" t="s">
        <v>41</v>
      </c>
      <c r="N7" s="10" t="s">
        <v>42</v>
      </c>
      <c r="O7" s="13" t="str">
        <f t="shared" ref="O7:AC7" si="3">IF(AND($I7&lt;=O$4+6,$J7&gt;=O$4),IF(OR($C7="Milestone",$C7="Gate"),"◆","■"),"")</f>
        <v>■</v>
      </c>
      <c r="P7" s="13" t="str">
        <f t="shared" si="3"/>
        <v/>
      </c>
      <c r="Q7" s="13" t="str">
        <f t="shared" si="3"/>
        <v/>
      </c>
      <c r="R7" s="13" t="str">
        <f t="shared" si="3"/>
        <v/>
      </c>
      <c r="S7" s="13" t="str">
        <f t="shared" si="3"/>
        <v/>
      </c>
      <c r="T7" s="13" t="str">
        <f t="shared" si="3"/>
        <v/>
      </c>
      <c r="U7" s="13" t="str">
        <f t="shared" si="3"/>
        <v/>
      </c>
      <c r="V7" s="13" t="str">
        <f t="shared" si="3"/>
        <v/>
      </c>
      <c r="W7" s="13" t="str">
        <f t="shared" si="3"/>
        <v/>
      </c>
      <c r="X7" s="13" t="str">
        <f t="shared" si="3"/>
        <v/>
      </c>
      <c r="Y7" s="13" t="str">
        <f t="shared" si="3"/>
        <v/>
      </c>
      <c r="Z7" s="13" t="str">
        <f t="shared" si="3"/>
        <v/>
      </c>
      <c r="AA7" s="13" t="str">
        <f t="shared" si="3"/>
        <v/>
      </c>
      <c r="AB7" s="13" t="str">
        <f t="shared" si="3"/>
        <v/>
      </c>
      <c r="AC7" s="13" t="str">
        <f t="shared" si="3"/>
        <v/>
      </c>
    </row>
    <row r="8" ht="39.0" customHeight="1">
      <c r="A8" s="10" t="s">
        <v>43</v>
      </c>
      <c r="B8" s="10" t="s">
        <v>19</v>
      </c>
      <c r="C8" s="10" t="s">
        <v>20</v>
      </c>
      <c r="D8" s="10" t="s">
        <v>44</v>
      </c>
      <c r="E8" s="10" t="s">
        <v>45</v>
      </c>
      <c r="F8" s="10" t="s">
        <v>46</v>
      </c>
      <c r="G8" s="10" t="s">
        <v>24</v>
      </c>
      <c r="H8" s="11">
        <v>4.0</v>
      </c>
      <c r="I8" s="12">
        <v>46307.0</v>
      </c>
      <c r="J8" s="12">
        <v>46310.0</v>
      </c>
      <c r="K8" s="10" t="s">
        <v>18</v>
      </c>
      <c r="L8" s="10" t="s">
        <v>26</v>
      </c>
      <c r="M8" s="10" t="s">
        <v>47</v>
      </c>
      <c r="N8" s="10" t="s">
        <v>48</v>
      </c>
      <c r="O8" s="13" t="str">
        <f t="shared" ref="O8:AC8" si="4">IF(AND($I8&lt;=O$4+6,$J8&gt;=O$4),IF(OR($C8="Milestone",$C8="Gate"),"◆","■"),"")</f>
        <v>■</v>
      </c>
      <c r="P8" s="13" t="str">
        <f t="shared" si="4"/>
        <v/>
      </c>
      <c r="Q8" s="13" t="str">
        <f t="shared" si="4"/>
        <v/>
      </c>
      <c r="R8" s="13" t="str">
        <f t="shared" si="4"/>
        <v/>
      </c>
      <c r="S8" s="13" t="str">
        <f t="shared" si="4"/>
        <v/>
      </c>
      <c r="T8" s="13" t="str">
        <f t="shared" si="4"/>
        <v/>
      </c>
      <c r="U8" s="13" t="str">
        <f t="shared" si="4"/>
        <v/>
      </c>
      <c r="V8" s="13" t="str">
        <f t="shared" si="4"/>
        <v/>
      </c>
      <c r="W8" s="13" t="str">
        <f t="shared" si="4"/>
        <v/>
      </c>
      <c r="X8" s="13" t="str">
        <f t="shared" si="4"/>
        <v/>
      </c>
      <c r="Y8" s="13" t="str">
        <f t="shared" si="4"/>
        <v/>
      </c>
      <c r="Z8" s="13" t="str">
        <f t="shared" si="4"/>
        <v/>
      </c>
      <c r="AA8" s="13" t="str">
        <f t="shared" si="4"/>
        <v/>
      </c>
      <c r="AB8" s="13" t="str">
        <f t="shared" si="4"/>
        <v/>
      </c>
      <c r="AC8" s="13" t="str">
        <f t="shared" si="4"/>
        <v/>
      </c>
    </row>
    <row r="9" ht="39.0" customHeight="1">
      <c r="A9" s="10" t="s">
        <v>49</v>
      </c>
      <c r="B9" s="10" t="s">
        <v>19</v>
      </c>
      <c r="C9" s="10" t="s">
        <v>20</v>
      </c>
      <c r="D9" s="10" t="s">
        <v>50</v>
      </c>
      <c r="E9" s="10" t="s">
        <v>51</v>
      </c>
      <c r="F9" s="10" t="s">
        <v>23</v>
      </c>
      <c r="G9" s="10" t="s">
        <v>52</v>
      </c>
      <c r="H9" s="11">
        <v>3.0</v>
      </c>
      <c r="I9" s="12">
        <v>46307.0</v>
      </c>
      <c r="J9" s="12">
        <v>46309.0</v>
      </c>
      <c r="K9" s="10" t="s">
        <v>18</v>
      </c>
      <c r="L9" s="10" t="s">
        <v>26</v>
      </c>
      <c r="M9" s="10" t="s">
        <v>53</v>
      </c>
      <c r="N9" s="10" t="s">
        <v>54</v>
      </c>
      <c r="O9" s="13" t="str">
        <f t="shared" ref="O9:AC9" si="5">IF(AND($I9&lt;=O$4+6,$J9&gt;=O$4),IF(OR($C9="Milestone",$C9="Gate"),"◆","■"),"")</f>
        <v>■</v>
      </c>
      <c r="P9" s="13" t="str">
        <f t="shared" si="5"/>
        <v/>
      </c>
      <c r="Q9" s="13" t="str">
        <f t="shared" si="5"/>
        <v/>
      </c>
      <c r="R9" s="13" t="str">
        <f t="shared" si="5"/>
        <v/>
      </c>
      <c r="S9" s="13" t="str">
        <f t="shared" si="5"/>
        <v/>
      </c>
      <c r="T9" s="13" t="str">
        <f t="shared" si="5"/>
        <v/>
      </c>
      <c r="U9" s="13" t="str">
        <f t="shared" si="5"/>
        <v/>
      </c>
      <c r="V9" s="13" t="str">
        <f t="shared" si="5"/>
        <v/>
      </c>
      <c r="W9" s="13" t="str">
        <f t="shared" si="5"/>
        <v/>
      </c>
      <c r="X9" s="13" t="str">
        <f t="shared" si="5"/>
        <v/>
      </c>
      <c r="Y9" s="13" t="str">
        <f t="shared" si="5"/>
        <v/>
      </c>
      <c r="Z9" s="13" t="str">
        <f t="shared" si="5"/>
        <v/>
      </c>
      <c r="AA9" s="13" t="str">
        <f t="shared" si="5"/>
        <v/>
      </c>
      <c r="AB9" s="13" t="str">
        <f t="shared" si="5"/>
        <v/>
      </c>
      <c r="AC9" s="13" t="str">
        <f t="shared" si="5"/>
        <v/>
      </c>
    </row>
    <row r="10" ht="39.0" customHeight="1">
      <c r="A10" s="10" t="s">
        <v>55</v>
      </c>
      <c r="B10" s="10" t="s">
        <v>19</v>
      </c>
      <c r="C10" s="10" t="s">
        <v>20</v>
      </c>
      <c r="D10" s="10" t="s">
        <v>56</v>
      </c>
      <c r="E10" s="10" t="s">
        <v>57</v>
      </c>
      <c r="F10" s="10" t="s">
        <v>32</v>
      </c>
      <c r="G10" s="10" t="s">
        <v>58</v>
      </c>
      <c r="H10" s="11">
        <v>5.0</v>
      </c>
      <c r="I10" s="12">
        <v>46307.0</v>
      </c>
      <c r="J10" s="12">
        <v>46310.0</v>
      </c>
      <c r="K10" s="10" t="s">
        <v>29</v>
      </c>
      <c r="L10" s="10" t="s">
        <v>26</v>
      </c>
      <c r="M10" s="10" t="s">
        <v>59</v>
      </c>
      <c r="N10" s="10" t="s">
        <v>60</v>
      </c>
      <c r="O10" s="13" t="str">
        <f t="shared" ref="O10:AC10" si="6">IF(AND($I10&lt;=O$4+6,$J10&gt;=O$4),IF(OR($C10="Milestone",$C10="Gate"),"◆","■"),"")</f>
        <v>■</v>
      </c>
      <c r="P10" s="13" t="str">
        <f t="shared" si="6"/>
        <v/>
      </c>
      <c r="Q10" s="13" t="str">
        <f t="shared" si="6"/>
        <v/>
      </c>
      <c r="R10" s="13" t="str">
        <f t="shared" si="6"/>
        <v/>
      </c>
      <c r="S10" s="13" t="str">
        <f t="shared" si="6"/>
        <v/>
      </c>
      <c r="T10" s="13" t="str">
        <f t="shared" si="6"/>
        <v/>
      </c>
      <c r="U10" s="13" t="str">
        <f t="shared" si="6"/>
        <v/>
      </c>
      <c r="V10" s="13" t="str">
        <f t="shared" si="6"/>
        <v/>
      </c>
      <c r="W10" s="13" t="str">
        <f t="shared" si="6"/>
        <v/>
      </c>
      <c r="X10" s="13" t="str">
        <f t="shared" si="6"/>
        <v/>
      </c>
      <c r="Y10" s="13" t="str">
        <f t="shared" si="6"/>
        <v/>
      </c>
      <c r="Z10" s="13" t="str">
        <f t="shared" si="6"/>
        <v/>
      </c>
      <c r="AA10" s="13" t="str">
        <f t="shared" si="6"/>
        <v/>
      </c>
      <c r="AB10" s="13" t="str">
        <f t="shared" si="6"/>
        <v/>
      </c>
      <c r="AC10" s="13" t="str">
        <f t="shared" si="6"/>
        <v/>
      </c>
    </row>
    <row r="11" ht="39.0" customHeight="1">
      <c r="A11" s="10" t="s">
        <v>61</v>
      </c>
      <c r="B11" s="10" t="s">
        <v>19</v>
      </c>
      <c r="C11" s="10" t="s">
        <v>20</v>
      </c>
      <c r="D11" s="10" t="s">
        <v>62</v>
      </c>
      <c r="E11" s="10" t="s">
        <v>63</v>
      </c>
      <c r="F11" s="10" t="s">
        <v>46</v>
      </c>
      <c r="G11" s="10" t="s">
        <v>64</v>
      </c>
      <c r="H11" s="11">
        <v>3.0</v>
      </c>
      <c r="I11" s="12">
        <v>46308.0</v>
      </c>
      <c r="J11" s="12">
        <v>46311.0</v>
      </c>
      <c r="K11" s="10" t="s">
        <v>29</v>
      </c>
      <c r="L11" s="10" t="s">
        <v>26</v>
      </c>
      <c r="M11" s="10" t="s">
        <v>65</v>
      </c>
      <c r="N11" s="10" t="s">
        <v>66</v>
      </c>
      <c r="O11" s="13" t="str">
        <f t="shared" ref="O11:AC11" si="7">IF(AND($I11&lt;=O$4+6,$J11&gt;=O$4),IF(OR($C11="Milestone",$C11="Gate"),"◆","■"),"")</f>
        <v>■</v>
      </c>
      <c r="P11" s="13" t="str">
        <f t="shared" si="7"/>
        <v/>
      </c>
      <c r="Q11" s="13" t="str">
        <f t="shared" si="7"/>
        <v/>
      </c>
      <c r="R11" s="13" t="str">
        <f t="shared" si="7"/>
        <v/>
      </c>
      <c r="S11" s="13" t="str">
        <f t="shared" si="7"/>
        <v/>
      </c>
      <c r="T11" s="13" t="str">
        <f t="shared" si="7"/>
        <v/>
      </c>
      <c r="U11" s="13" t="str">
        <f t="shared" si="7"/>
        <v/>
      </c>
      <c r="V11" s="13" t="str">
        <f t="shared" si="7"/>
        <v/>
      </c>
      <c r="W11" s="13" t="str">
        <f t="shared" si="7"/>
        <v/>
      </c>
      <c r="X11" s="13" t="str">
        <f t="shared" si="7"/>
        <v/>
      </c>
      <c r="Y11" s="13" t="str">
        <f t="shared" si="7"/>
        <v/>
      </c>
      <c r="Z11" s="13" t="str">
        <f t="shared" si="7"/>
        <v/>
      </c>
      <c r="AA11" s="13" t="str">
        <f t="shared" si="7"/>
        <v/>
      </c>
      <c r="AB11" s="13" t="str">
        <f t="shared" si="7"/>
        <v/>
      </c>
      <c r="AC11" s="13" t="str">
        <f t="shared" si="7"/>
        <v/>
      </c>
    </row>
    <row r="12" ht="39.0" customHeight="1">
      <c r="A12" s="10" t="s">
        <v>67</v>
      </c>
      <c r="B12" s="10" t="s">
        <v>68</v>
      </c>
      <c r="C12" s="10" t="s">
        <v>20</v>
      </c>
      <c r="D12" s="10" t="s">
        <v>50</v>
      </c>
      <c r="E12" s="10" t="s">
        <v>69</v>
      </c>
      <c r="F12" s="10" t="s">
        <v>23</v>
      </c>
      <c r="G12" s="10" t="s">
        <v>52</v>
      </c>
      <c r="H12" s="11">
        <v>5.0</v>
      </c>
      <c r="I12" s="12">
        <v>46310.0</v>
      </c>
      <c r="J12" s="12">
        <v>46317.0</v>
      </c>
      <c r="K12" s="10" t="s">
        <v>49</v>
      </c>
      <c r="L12" s="10" t="s">
        <v>26</v>
      </c>
      <c r="M12" s="10" t="s">
        <v>70</v>
      </c>
      <c r="N12" s="10" t="s">
        <v>71</v>
      </c>
      <c r="O12" s="13" t="str">
        <f t="shared" ref="O12:AC12" si="8">IF(AND($I12&lt;=O$4+6,$J12&gt;=O$4),IF(OR($C12="Milestone",$C12="Gate"),"◆","■"),"")</f>
        <v>■</v>
      </c>
      <c r="P12" s="13" t="str">
        <f t="shared" si="8"/>
        <v>■</v>
      </c>
      <c r="Q12" s="13" t="str">
        <f t="shared" si="8"/>
        <v/>
      </c>
      <c r="R12" s="13" t="str">
        <f t="shared" si="8"/>
        <v/>
      </c>
      <c r="S12" s="13" t="str">
        <f t="shared" si="8"/>
        <v/>
      </c>
      <c r="T12" s="13" t="str">
        <f t="shared" si="8"/>
        <v/>
      </c>
      <c r="U12" s="13" t="str">
        <f t="shared" si="8"/>
        <v/>
      </c>
      <c r="V12" s="13" t="str">
        <f t="shared" si="8"/>
        <v/>
      </c>
      <c r="W12" s="13" t="str">
        <f t="shared" si="8"/>
        <v/>
      </c>
      <c r="X12" s="13" t="str">
        <f t="shared" si="8"/>
        <v/>
      </c>
      <c r="Y12" s="13" t="str">
        <f t="shared" si="8"/>
        <v/>
      </c>
      <c r="Z12" s="13" t="str">
        <f t="shared" si="8"/>
        <v/>
      </c>
      <c r="AA12" s="13" t="str">
        <f t="shared" si="8"/>
        <v/>
      </c>
      <c r="AB12" s="13" t="str">
        <f t="shared" si="8"/>
        <v/>
      </c>
      <c r="AC12" s="13" t="str">
        <f t="shared" si="8"/>
        <v/>
      </c>
    </row>
    <row r="13" ht="39.0" customHeight="1">
      <c r="A13" s="10" t="s">
        <v>72</v>
      </c>
      <c r="B13" s="10" t="s">
        <v>68</v>
      </c>
      <c r="C13" s="10" t="s">
        <v>20</v>
      </c>
      <c r="D13" s="10" t="s">
        <v>73</v>
      </c>
      <c r="E13" s="10" t="s">
        <v>74</v>
      </c>
      <c r="F13" s="10" t="s">
        <v>32</v>
      </c>
      <c r="G13" s="10" t="s">
        <v>40</v>
      </c>
      <c r="H13" s="11">
        <v>5.0</v>
      </c>
      <c r="I13" s="12">
        <v>46310.0</v>
      </c>
      <c r="J13" s="12">
        <v>46316.0</v>
      </c>
      <c r="K13" s="10" t="s">
        <v>75</v>
      </c>
      <c r="L13" s="10" t="s">
        <v>26</v>
      </c>
      <c r="M13" s="10" t="s">
        <v>76</v>
      </c>
      <c r="N13" s="10" t="s">
        <v>77</v>
      </c>
      <c r="O13" s="13" t="str">
        <f t="shared" ref="O13:AC13" si="9">IF(AND($I13&lt;=O$4+6,$J13&gt;=O$4),IF(OR($C13="Milestone",$C13="Gate"),"◆","■"),"")</f>
        <v>■</v>
      </c>
      <c r="P13" s="13" t="str">
        <f t="shared" si="9"/>
        <v>■</v>
      </c>
      <c r="Q13" s="13" t="str">
        <f t="shared" si="9"/>
        <v/>
      </c>
      <c r="R13" s="13" t="str">
        <f t="shared" si="9"/>
        <v/>
      </c>
      <c r="S13" s="13" t="str">
        <f t="shared" si="9"/>
        <v/>
      </c>
      <c r="T13" s="13" t="str">
        <f t="shared" si="9"/>
        <v/>
      </c>
      <c r="U13" s="13" t="str">
        <f t="shared" si="9"/>
        <v/>
      </c>
      <c r="V13" s="13" t="str">
        <f t="shared" si="9"/>
        <v/>
      </c>
      <c r="W13" s="13" t="str">
        <f t="shared" si="9"/>
        <v/>
      </c>
      <c r="X13" s="13" t="str">
        <f t="shared" si="9"/>
        <v/>
      </c>
      <c r="Y13" s="13" t="str">
        <f t="shared" si="9"/>
        <v/>
      </c>
      <c r="Z13" s="13" t="str">
        <f t="shared" si="9"/>
        <v/>
      </c>
      <c r="AA13" s="13" t="str">
        <f t="shared" si="9"/>
        <v/>
      </c>
      <c r="AB13" s="13" t="str">
        <f t="shared" si="9"/>
        <v/>
      </c>
      <c r="AC13" s="13" t="str">
        <f t="shared" si="9"/>
        <v/>
      </c>
    </row>
    <row r="14" ht="39.0" customHeight="1">
      <c r="A14" s="10" t="s">
        <v>78</v>
      </c>
      <c r="B14" s="10" t="s">
        <v>68</v>
      </c>
      <c r="C14" s="10" t="s">
        <v>20</v>
      </c>
      <c r="D14" s="10" t="s">
        <v>79</v>
      </c>
      <c r="E14" s="10" t="s">
        <v>80</v>
      </c>
      <c r="F14" s="10" t="s">
        <v>39</v>
      </c>
      <c r="G14" s="10" t="s">
        <v>40</v>
      </c>
      <c r="H14" s="11">
        <v>5.0</v>
      </c>
      <c r="I14" s="12">
        <v>46310.0</v>
      </c>
      <c r="J14" s="12">
        <v>46317.0</v>
      </c>
      <c r="K14" s="10" t="s">
        <v>81</v>
      </c>
      <c r="L14" s="10" t="s">
        <v>26</v>
      </c>
      <c r="M14" s="10" t="s">
        <v>82</v>
      </c>
      <c r="N14" s="10" t="s">
        <v>83</v>
      </c>
      <c r="O14" s="13" t="str">
        <f t="shared" ref="O14:AC14" si="10">IF(AND($I14&lt;=O$4+6,$J14&gt;=O$4),IF(OR($C14="Milestone",$C14="Gate"),"◆","■"),"")</f>
        <v>■</v>
      </c>
      <c r="P14" s="13" t="str">
        <f t="shared" si="10"/>
        <v>■</v>
      </c>
      <c r="Q14" s="13" t="str">
        <f t="shared" si="10"/>
        <v/>
      </c>
      <c r="R14" s="13" t="str">
        <f t="shared" si="10"/>
        <v/>
      </c>
      <c r="S14" s="13" t="str">
        <f t="shared" si="10"/>
        <v/>
      </c>
      <c r="T14" s="13" t="str">
        <f t="shared" si="10"/>
        <v/>
      </c>
      <c r="U14" s="13" t="str">
        <f t="shared" si="10"/>
        <v/>
      </c>
      <c r="V14" s="13" t="str">
        <f t="shared" si="10"/>
        <v/>
      </c>
      <c r="W14" s="13" t="str">
        <f t="shared" si="10"/>
        <v/>
      </c>
      <c r="X14" s="13" t="str">
        <f t="shared" si="10"/>
        <v/>
      </c>
      <c r="Y14" s="13" t="str">
        <f t="shared" si="10"/>
        <v/>
      </c>
      <c r="Z14" s="13" t="str">
        <f t="shared" si="10"/>
        <v/>
      </c>
      <c r="AA14" s="13" t="str">
        <f t="shared" si="10"/>
        <v/>
      </c>
      <c r="AB14" s="13" t="str">
        <f t="shared" si="10"/>
        <v/>
      </c>
      <c r="AC14" s="13" t="str">
        <f t="shared" si="10"/>
        <v/>
      </c>
    </row>
    <row r="15" ht="39.0" customHeight="1">
      <c r="A15" s="10" t="s">
        <v>84</v>
      </c>
      <c r="B15" s="10" t="s">
        <v>68</v>
      </c>
      <c r="C15" s="10" t="s">
        <v>20</v>
      </c>
      <c r="D15" s="10" t="s">
        <v>85</v>
      </c>
      <c r="E15" s="10" t="s">
        <v>86</v>
      </c>
      <c r="F15" s="10" t="s">
        <v>32</v>
      </c>
      <c r="G15" s="10" t="s">
        <v>52</v>
      </c>
      <c r="H15" s="11">
        <v>5.0</v>
      </c>
      <c r="I15" s="12">
        <v>46310.0</v>
      </c>
      <c r="J15" s="12">
        <v>46317.0</v>
      </c>
      <c r="K15" s="10" t="s">
        <v>87</v>
      </c>
      <c r="L15" s="10" t="s">
        <v>26</v>
      </c>
      <c r="M15" s="10" t="s">
        <v>88</v>
      </c>
      <c r="N15" s="10" t="s">
        <v>89</v>
      </c>
      <c r="O15" s="13" t="str">
        <f t="shared" ref="O15:AC15" si="11">IF(AND($I15&lt;=O$4+6,$J15&gt;=O$4),IF(OR($C15="Milestone",$C15="Gate"),"◆","■"),"")</f>
        <v>■</v>
      </c>
      <c r="P15" s="13" t="str">
        <f t="shared" si="11"/>
        <v>■</v>
      </c>
      <c r="Q15" s="13" t="str">
        <f t="shared" si="11"/>
        <v/>
      </c>
      <c r="R15" s="13" t="str">
        <f t="shared" si="11"/>
        <v/>
      </c>
      <c r="S15" s="13" t="str">
        <f t="shared" si="11"/>
        <v/>
      </c>
      <c r="T15" s="13" t="str">
        <f t="shared" si="11"/>
        <v/>
      </c>
      <c r="U15" s="13" t="str">
        <f t="shared" si="11"/>
        <v/>
      </c>
      <c r="V15" s="13" t="str">
        <f t="shared" si="11"/>
        <v/>
      </c>
      <c r="W15" s="13" t="str">
        <f t="shared" si="11"/>
        <v/>
      </c>
      <c r="X15" s="13" t="str">
        <f t="shared" si="11"/>
        <v/>
      </c>
      <c r="Y15" s="13" t="str">
        <f t="shared" si="11"/>
        <v/>
      </c>
      <c r="Z15" s="13" t="str">
        <f t="shared" si="11"/>
        <v/>
      </c>
      <c r="AA15" s="13" t="str">
        <f t="shared" si="11"/>
        <v/>
      </c>
      <c r="AB15" s="13" t="str">
        <f t="shared" si="11"/>
        <v/>
      </c>
      <c r="AC15" s="13" t="str">
        <f t="shared" si="11"/>
        <v/>
      </c>
    </row>
    <row r="16" ht="39.0" customHeight="1">
      <c r="A16" s="10" t="s">
        <v>90</v>
      </c>
      <c r="B16" s="10" t="s">
        <v>68</v>
      </c>
      <c r="C16" s="10" t="s">
        <v>20</v>
      </c>
      <c r="D16" s="10" t="s">
        <v>91</v>
      </c>
      <c r="E16" s="10" t="s">
        <v>92</v>
      </c>
      <c r="F16" s="10" t="s">
        <v>39</v>
      </c>
      <c r="G16" s="10" t="s">
        <v>64</v>
      </c>
      <c r="H16" s="11">
        <v>4.0</v>
      </c>
      <c r="I16" s="12">
        <v>46313.0</v>
      </c>
      <c r="J16" s="12">
        <v>46318.0</v>
      </c>
      <c r="K16" s="10" t="s">
        <v>84</v>
      </c>
      <c r="L16" s="10" t="s">
        <v>26</v>
      </c>
      <c r="M16" s="10" t="s">
        <v>93</v>
      </c>
      <c r="N16" s="10" t="s">
        <v>94</v>
      </c>
      <c r="O16" s="13" t="str">
        <f t="shared" ref="O16:AC16" si="12">IF(AND($I16&lt;=O$4+6,$J16&gt;=O$4),IF(OR($C16="Milestone",$C16="Gate"),"◆","■"),"")</f>
        <v>■</v>
      </c>
      <c r="P16" s="13" t="str">
        <f t="shared" si="12"/>
        <v>■</v>
      </c>
      <c r="Q16" s="13" t="str">
        <f t="shared" si="12"/>
        <v/>
      </c>
      <c r="R16" s="13" t="str">
        <f t="shared" si="12"/>
        <v/>
      </c>
      <c r="S16" s="13" t="str">
        <f t="shared" si="12"/>
        <v/>
      </c>
      <c r="T16" s="13" t="str">
        <f t="shared" si="12"/>
        <v/>
      </c>
      <c r="U16" s="13" t="str">
        <f t="shared" si="12"/>
        <v/>
      </c>
      <c r="V16" s="13" t="str">
        <f t="shared" si="12"/>
        <v/>
      </c>
      <c r="W16" s="13" t="str">
        <f t="shared" si="12"/>
        <v/>
      </c>
      <c r="X16" s="13" t="str">
        <f t="shared" si="12"/>
        <v/>
      </c>
      <c r="Y16" s="13" t="str">
        <f t="shared" si="12"/>
        <v/>
      </c>
      <c r="Z16" s="13" t="str">
        <f t="shared" si="12"/>
        <v/>
      </c>
      <c r="AA16" s="13" t="str">
        <f t="shared" si="12"/>
        <v/>
      </c>
      <c r="AB16" s="13" t="str">
        <f t="shared" si="12"/>
        <v/>
      </c>
      <c r="AC16" s="13" t="str">
        <f t="shared" si="12"/>
        <v/>
      </c>
    </row>
    <row r="17" ht="39.0" customHeight="1">
      <c r="A17" s="10" t="s">
        <v>95</v>
      </c>
      <c r="B17" s="10" t="s">
        <v>68</v>
      </c>
      <c r="C17" s="10" t="s">
        <v>20</v>
      </c>
      <c r="D17" s="10" t="s">
        <v>96</v>
      </c>
      <c r="E17" s="10" t="s">
        <v>97</v>
      </c>
      <c r="F17" s="10" t="s">
        <v>23</v>
      </c>
      <c r="G17" s="10" t="s">
        <v>98</v>
      </c>
      <c r="H17" s="11">
        <v>4.0</v>
      </c>
      <c r="I17" s="12">
        <v>46310.0</v>
      </c>
      <c r="J17" s="12">
        <v>46314.0</v>
      </c>
      <c r="K17" s="10" t="s">
        <v>99</v>
      </c>
      <c r="L17" s="10" t="s">
        <v>26</v>
      </c>
      <c r="M17" s="10" t="s">
        <v>100</v>
      </c>
      <c r="N17" s="10" t="s">
        <v>101</v>
      </c>
      <c r="O17" s="13" t="str">
        <f t="shared" ref="O17:AC17" si="13">IF(AND($I17&lt;=O$4+6,$J17&gt;=O$4),IF(OR($C17="Milestone",$C17="Gate"),"◆","■"),"")</f>
        <v>■</v>
      </c>
      <c r="P17" s="13" t="str">
        <f t="shared" si="13"/>
        <v>■</v>
      </c>
      <c r="Q17" s="13" t="str">
        <f t="shared" si="13"/>
        <v/>
      </c>
      <c r="R17" s="13" t="str">
        <f t="shared" si="13"/>
        <v/>
      </c>
      <c r="S17" s="13" t="str">
        <f t="shared" si="13"/>
        <v/>
      </c>
      <c r="T17" s="13" t="str">
        <f t="shared" si="13"/>
        <v/>
      </c>
      <c r="U17" s="13" t="str">
        <f t="shared" si="13"/>
        <v/>
      </c>
      <c r="V17" s="13" t="str">
        <f t="shared" si="13"/>
        <v/>
      </c>
      <c r="W17" s="13" t="str">
        <f t="shared" si="13"/>
        <v/>
      </c>
      <c r="X17" s="13" t="str">
        <f t="shared" si="13"/>
        <v/>
      </c>
      <c r="Y17" s="13" t="str">
        <f t="shared" si="13"/>
        <v/>
      </c>
      <c r="Z17" s="13" t="str">
        <f t="shared" si="13"/>
        <v/>
      </c>
      <c r="AA17" s="13" t="str">
        <f t="shared" si="13"/>
        <v/>
      </c>
      <c r="AB17" s="13" t="str">
        <f t="shared" si="13"/>
        <v/>
      </c>
      <c r="AC17" s="13" t="str">
        <f t="shared" si="13"/>
        <v/>
      </c>
    </row>
    <row r="18" ht="39.0" customHeight="1">
      <c r="A18" s="10" t="s">
        <v>102</v>
      </c>
      <c r="B18" s="10" t="s">
        <v>68</v>
      </c>
      <c r="C18" s="10" t="s">
        <v>20</v>
      </c>
      <c r="D18" s="10" t="s">
        <v>103</v>
      </c>
      <c r="E18" s="10" t="s">
        <v>104</v>
      </c>
      <c r="F18" s="10" t="s">
        <v>32</v>
      </c>
      <c r="G18" s="10" t="s">
        <v>52</v>
      </c>
      <c r="H18" s="11">
        <v>6.0</v>
      </c>
      <c r="I18" s="12">
        <v>46313.0</v>
      </c>
      <c r="J18" s="12">
        <v>46321.0</v>
      </c>
      <c r="K18" s="10" t="s">
        <v>105</v>
      </c>
      <c r="L18" s="10" t="s">
        <v>26</v>
      </c>
      <c r="M18" s="10" t="s">
        <v>106</v>
      </c>
      <c r="N18" s="10" t="s">
        <v>107</v>
      </c>
      <c r="O18" s="13" t="str">
        <f t="shared" ref="O18:AC18" si="14">IF(AND($I18&lt;=O$4+6,$J18&gt;=O$4),IF(OR($C18="Milestone",$C18="Gate"),"◆","■"),"")</f>
        <v>■</v>
      </c>
      <c r="P18" s="13" t="str">
        <f t="shared" si="14"/>
        <v>■</v>
      </c>
      <c r="Q18" s="13" t="str">
        <f t="shared" si="14"/>
        <v>■</v>
      </c>
      <c r="R18" s="13" t="str">
        <f t="shared" si="14"/>
        <v/>
      </c>
      <c r="S18" s="13" t="str">
        <f t="shared" si="14"/>
        <v/>
      </c>
      <c r="T18" s="13" t="str">
        <f t="shared" si="14"/>
        <v/>
      </c>
      <c r="U18" s="13" t="str">
        <f t="shared" si="14"/>
        <v/>
      </c>
      <c r="V18" s="13" t="str">
        <f t="shared" si="14"/>
        <v/>
      </c>
      <c r="W18" s="13" t="str">
        <f t="shared" si="14"/>
        <v/>
      </c>
      <c r="X18" s="13" t="str">
        <f t="shared" si="14"/>
        <v/>
      </c>
      <c r="Y18" s="13" t="str">
        <f t="shared" si="14"/>
        <v/>
      </c>
      <c r="Z18" s="13" t="str">
        <f t="shared" si="14"/>
        <v/>
      </c>
      <c r="AA18" s="13" t="str">
        <f t="shared" si="14"/>
        <v/>
      </c>
      <c r="AB18" s="13" t="str">
        <f t="shared" si="14"/>
        <v/>
      </c>
      <c r="AC18" s="13" t="str">
        <f t="shared" si="14"/>
        <v/>
      </c>
    </row>
    <row r="19" ht="39.0" customHeight="1">
      <c r="A19" s="10" t="s">
        <v>108</v>
      </c>
      <c r="B19" s="10" t="s">
        <v>68</v>
      </c>
      <c r="C19" s="10" t="s">
        <v>20</v>
      </c>
      <c r="D19" s="10" t="s">
        <v>109</v>
      </c>
      <c r="E19" s="10" t="s">
        <v>110</v>
      </c>
      <c r="F19" s="10" t="s">
        <v>32</v>
      </c>
      <c r="G19" s="10" t="s">
        <v>52</v>
      </c>
      <c r="H19" s="11">
        <v>4.0</v>
      </c>
      <c r="I19" s="12">
        <v>46317.0</v>
      </c>
      <c r="J19" s="12">
        <v>46322.0</v>
      </c>
      <c r="K19" s="10" t="s">
        <v>102</v>
      </c>
      <c r="L19" s="10" t="s">
        <v>26</v>
      </c>
      <c r="M19" s="10" t="s">
        <v>111</v>
      </c>
      <c r="N19" s="10" t="s">
        <v>112</v>
      </c>
      <c r="O19" s="13" t="str">
        <f t="shared" ref="O19:AC19" si="15">IF(AND($I19&lt;=O$4+6,$J19&gt;=O$4),IF(OR($C19="Milestone",$C19="Gate"),"◆","■"),"")</f>
        <v/>
      </c>
      <c r="P19" s="13" t="str">
        <f t="shared" si="15"/>
        <v>■</v>
      </c>
      <c r="Q19" s="13" t="str">
        <f t="shared" si="15"/>
        <v>■</v>
      </c>
      <c r="R19" s="13" t="str">
        <f t="shared" si="15"/>
        <v/>
      </c>
      <c r="S19" s="13" t="str">
        <f t="shared" si="15"/>
        <v/>
      </c>
      <c r="T19" s="13" t="str">
        <f t="shared" si="15"/>
        <v/>
      </c>
      <c r="U19" s="13" t="str">
        <f t="shared" si="15"/>
        <v/>
      </c>
      <c r="V19" s="13" t="str">
        <f t="shared" si="15"/>
        <v/>
      </c>
      <c r="W19" s="13" t="str">
        <f t="shared" si="15"/>
        <v/>
      </c>
      <c r="X19" s="13" t="str">
        <f t="shared" si="15"/>
        <v/>
      </c>
      <c r="Y19" s="13" t="str">
        <f t="shared" si="15"/>
        <v/>
      </c>
      <c r="Z19" s="13" t="str">
        <f t="shared" si="15"/>
        <v/>
      </c>
      <c r="AA19" s="13" t="str">
        <f t="shared" si="15"/>
        <v/>
      </c>
      <c r="AB19" s="13" t="str">
        <f t="shared" si="15"/>
        <v/>
      </c>
      <c r="AC19" s="13" t="str">
        <f t="shared" si="15"/>
        <v/>
      </c>
    </row>
    <row r="20" ht="39.0" customHeight="1">
      <c r="A20" s="10" t="s">
        <v>113</v>
      </c>
      <c r="B20" s="10" t="s">
        <v>68</v>
      </c>
      <c r="C20" s="10" t="s">
        <v>20</v>
      </c>
      <c r="D20" s="10" t="s">
        <v>114</v>
      </c>
      <c r="E20" s="10" t="s">
        <v>115</v>
      </c>
      <c r="F20" s="10" t="s">
        <v>39</v>
      </c>
      <c r="G20" s="10" t="s">
        <v>64</v>
      </c>
      <c r="H20" s="11">
        <v>6.0</v>
      </c>
      <c r="I20" s="12">
        <v>46315.0</v>
      </c>
      <c r="J20" s="12">
        <v>46322.0</v>
      </c>
      <c r="K20" s="10" t="s">
        <v>116</v>
      </c>
      <c r="L20" s="10" t="s">
        <v>26</v>
      </c>
      <c r="M20" s="10" t="s">
        <v>117</v>
      </c>
      <c r="N20" s="10" t="s">
        <v>118</v>
      </c>
      <c r="O20" s="13" t="str">
        <f t="shared" ref="O20:AC20" si="16">IF(AND($I20&lt;=O$4+6,$J20&gt;=O$4),IF(OR($C20="Milestone",$C20="Gate"),"◆","■"),"")</f>
        <v/>
      </c>
      <c r="P20" s="13" t="str">
        <f t="shared" si="16"/>
        <v>■</v>
      </c>
      <c r="Q20" s="13" t="str">
        <f t="shared" si="16"/>
        <v>■</v>
      </c>
      <c r="R20" s="13" t="str">
        <f t="shared" si="16"/>
        <v/>
      </c>
      <c r="S20" s="13" t="str">
        <f t="shared" si="16"/>
        <v/>
      </c>
      <c r="T20" s="13" t="str">
        <f t="shared" si="16"/>
        <v/>
      </c>
      <c r="U20" s="13" t="str">
        <f t="shared" si="16"/>
        <v/>
      </c>
      <c r="V20" s="13" t="str">
        <f t="shared" si="16"/>
        <v/>
      </c>
      <c r="W20" s="13" t="str">
        <f t="shared" si="16"/>
        <v/>
      </c>
      <c r="X20" s="13" t="str">
        <f t="shared" si="16"/>
        <v/>
      </c>
      <c r="Y20" s="13" t="str">
        <f t="shared" si="16"/>
        <v/>
      </c>
      <c r="Z20" s="13" t="str">
        <f t="shared" si="16"/>
        <v/>
      </c>
      <c r="AA20" s="13" t="str">
        <f t="shared" si="16"/>
        <v/>
      </c>
      <c r="AB20" s="13" t="str">
        <f t="shared" si="16"/>
        <v/>
      </c>
      <c r="AC20" s="13" t="str">
        <f t="shared" si="16"/>
        <v/>
      </c>
    </row>
    <row r="21" ht="39.0" customHeight="1">
      <c r="A21" s="10" t="s">
        <v>119</v>
      </c>
      <c r="B21" s="10" t="s">
        <v>68</v>
      </c>
      <c r="C21" s="10" t="s">
        <v>20</v>
      </c>
      <c r="D21" s="10" t="s">
        <v>120</v>
      </c>
      <c r="E21" s="10" t="s">
        <v>121</v>
      </c>
      <c r="F21" s="10" t="s">
        <v>23</v>
      </c>
      <c r="G21" s="10" t="s">
        <v>122</v>
      </c>
      <c r="H21" s="11">
        <v>5.0</v>
      </c>
      <c r="I21" s="12">
        <v>46315.0</v>
      </c>
      <c r="J21" s="12">
        <v>46322.0</v>
      </c>
      <c r="K21" s="10" t="s">
        <v>123</v>
      </c>
      <c r="L21" s="10" t="s">
        <v>26</v>
      </c>
      <c r="M21" s="10" t="s">
        <v>124</v>
      </c>
      <c r="N21" s="10" t="s">
        <v>125</v>
      </c>
      <c r="O21" s="13" t="str">
        <f t="shared" ref="O21:AC21" si="17">IF(AND($I21&lt;=O$4+6,$J21&gt;=O$4),IF(OR($C21="Milestone",$C21="Gate"),"◆","■"),"")</f>
        <v/>
      </c>
      <c r="P21" s="13" t="str">
        <f t="shared" si="17"/>
        <v>■</v>
      </c>
      <c r="Q21" s="13" t="str">
        <f t="shared" si="17"/>
        <v>■</v>
      </c>
      <c r="R21" s="13" t="str">
        <f t="shared" si="17"/>
        <v/>
      </c>
      <c r="S21" s="13" t="str">
        <f t="shared" si="17"/>
        <v/>
      </c>
      <c r="T21" s="13" t="str">
        <f t="shared" si="17"/>
        <v/>
      </c>
      <c r="U21" s="13" t="str">
        <f t="shared" si="17"/>
        <v/>
      </c>
      <c r="V21" s="13" t="str">
        <f t="shared" si="17"/>
        <v/>
      </c>
      <c r="W21" s="13" t="str">
        <f t="shared" si="17"/>
        <v/>
      </c>
      <c r="X21" s="13" t="str">
        <f t="shared" si="17"/>
        <v/>
      </c>
      <c r="Y21" s="13" t="str">
        <f t="shared" si="17"/>
        <v/>
      </c>
      <c r="Z21" s="13" t="str">
        <f t="shared" si="17"/>
        <v/>
      </c>
      <c r="AA21" s="13" t="str">
        <f t="shared" si="17"/>
        <v/>
      </c>
      <c r="AB21" s="13" t="str">
        <f t="shared" si="17"/>
        <v/>
      </c>
      <c r="AC21" s="13" t="str">
        <f t="shared" si="17"/>
        <v/>
      </c>
    </row>
    <row r="22" ht="39.0" customHeight="1">
      <c r="A22" s="10" t="s">
        <v>126</v>
      </c>
      <c r="B22" s="10" t="s">
        <v>68</v>
      </c>
      <c r="C22" s="10" t="s">
        <v>20</v>
      </c>
      <c r="D22" s="10" t="s">
        <v>127</v>
      </c>
      <c r="E22" s="10" t="s">
        <v>128</v>
      </c>
      <c r="F22" s="10" t="s">
        <v>32</v>
      </c>
      <c r="G22" s="10" t="s">
        <v>129</v>
      </c>
      <c r="H22" s="11">
        <v>5.0</v>
      </c>
      <c r="I22" s="12">
        <v>46317.0</v>
      </c>
      <c r="J22" s="12">
        <v>46323.0</v>
      </c>
      <c r="K22" s="10" t="s">
        <v>130</v>
      </c>
      <c r="L22" s="10" t="s">
        <v>26</v>
      </c>
      <c r="M22" s="10" t="s">
        <v>131</v>
      </c>
      <c r="N22" s="10" t="s">
        <v>132</v>
      </c>
      <c r="O22" s="13" t="str">
        <f t="shared" ref="O22:AC22" si="18">IF(AND($I22&lt;=O$4+6,$J22&gt;=O$4),IF(OR($C22="Milestone",$C22="Gate"),"◆","■"),"")</f>
        <v/>
      </c>
      <c r="P22" s="13" t="str">
        <f t="shared" si="18"/>
        <v>■</v>
      </c>
      <c r="Q22" s="13" t="str">
        <f t="shared" si="18"/>
        <v>■</v>
      </c>
      <c r="R22" s="13" t="str">
        <f t="shared" si="18"/>
        <v/>
      </c>
      <c r="S22" s="13" t="str">
        <f t="shared" si="18"/>
        <v/>
      </c>
      <c r="T22" s="13" t="str">
        <f t="shared" si="18"/>
        <v/>
      </c>
      <c r="U22" s="13" t="str">
        <f t="shared" si="18"/>
        <v/>
      </c>
      <c r="V22" s="13" t="str">
        <f t="shared" si="18"/>
        <v/>
      </c>
      <c r="W22" s="13" t="str">
        <f t="shared" si="18"/>
        <v/>
      </c>
      <c r="X22" s="13" t="str">
        <f t="shared" si="18"/>
        <v/>
      </c>
      <c r="Y22" s="13" t="str">
        <f t="shared" si="18"/>
        <v/>
      </c>
      <c r="Z22" s="13" t="str">
        <f t="shared" si="18"/>
        <v/>
      </c>
      <c r="AA22" s="13" t="str">
        <f t="shared" si="18"/>
        <v/>
      </c>
      <c r="AB22" s="13" t="str">
        <f t="shared" si="18"/>
        <v/>
      </c>
      <c r="AC22" s="13" t="str">
        <f t="shared" si="18"/>
        <v/>
      </c>
    </row>
    <row r="23" ht="39.0" customHeight="1">
      <c r="A23" s="10" t="s">
        <v>133</v>
      </c>
      <c r="B23" s="10" t="s">
        <v>68</v>
      </c>
      <c r="C23" s="10" t="s">
        <v>20</v>
      </c>
      <c r="D23" s="10" t="s">
        <v>134</v>
      </c>
      <c r="E23" s="10" t="s">
        <v>135</v>
      </c>
      <c r="F23" s="10" t="s">
        <v>39</v>
      </c>
      <c r="G23" s="10" t="s">
        <v>52</v>
      </c>
      <c r="H23" s="11">
        <v>5.0</v>
      </c>
      <c r="I23" s="12">
        <v>46314.0</v>
      </c>
      <c r="J23" s="12">
        <v>46320.0</v>
      </c>
      <c r="K23" s="10" t="s">
        <v>78</v>
      </c>
      <c r="L23" s="10" t="s">
        <v>26</v>
      </c>
      <c r="M23" s="10" t="s">
        <v>136</v>
      </c>
      <c r="N23" s="10" t="s">
        <v>137</v>
      </c>
      <c r="O23" s="13" t="str">
        <f t="shared" ref="O23:AC23" si="19">IF(AND($I23&lt;=O$4+6,$J23&gt;=O$4),IF(OR($C23="Milestone",$C23="Gate"),"◆","■"),"")</f>
        <v/>
      </c>
      <c r="P23" s="13" t="str">
        <f t="shared" si="19"/>
        <v>■</v>
      </c>
      <c r="Q23" s="13" t="str">
        <f t="shared" si="19"/>
        <v/>
      </c>
      <c r="R23" s="13" t="str">
        <f t="shared" si="19"/>
        <v/>
      </c>
      <c r="S23" s="13" t="str">
        <f t="shared" si="19"/>
        <v/>
      </c>
      <c r="T23" s="13" t="str">
        <f t="shared" si="19"/>
        <v/>
      </c>
      <c r="U23" s="13" t="str">
        <f t="shared" si="19"/>
        <v/>
      </c>
      <c r="V23" s="13" t="str">
        <f t="shared" si="19"/>
        <v/>
      </c>
      <c r="W23" s="13" t="str">
        <f t="shared" si="19"/>
        <v/>
      </c>
      <c r="X23" s="13" t="str">
        <f t="shared" si="19"/>
        <v/>
      </c>
      <c r="Y23" s="13" t="str">
        <f t="shared" si="19"/>
        <v/>
      </c>
      <c r="Z23" s="13" t="str">
        <f t="shared" si="19"/>
        <v/>
      </c>
      <c r="AA23" s="13" t="str">
        <f t="shared" si="19"/>
        <v/>
      </c>
      <c r="AB23" s="13" t="str">
        <f t="shared" si="19"/>
        <v/>
      </c>
      <c r="AC23" s="13" t="str">
        <f t="shared" si="19"/>
        <v/>
      </c>
    </row>
    <row r="24" ht="39.0" customHeight="1">
      <c r="A24" s="10" t="s">
        <v>138</v>
      </c>
      <c r="B24" s="10" t="s">
        <v>68</v>
      </c>
      <c r="C24" s="10" t="s">
        <v>20</v>
      </c>
      <c r="D24" s="10" t="s">
        <v>139</v>
      </c>
      <c r="E24" s="10" t="s">
        <v>140</v>
      </c>
      <c r="F24" s="10" t="s">
        <v>39</v>
      </c>
      <c r="G24" s="10" t="s">
        <v>64</v>
      </c>
      <c r="H24" s="11">
        <v>6.0</v>
      </c>
      <c r="I24" s="12">
        <v>46318.0</v>
      </c>
      <c r="J24" s="12">
        <v>46325.0</v>
      </c>
      <c r="K24" s="10" t="s">
        <v>141</v>
      </c>
      <c r="L24" s="10" t="s">
        <v>26</v>
      </c>
      <c r="M24" s="10" t="s">
        <v>142</v>
      </c>
      <c r="N24" s="10" t="s">
        <v>143</v>
      </c>
      <c r="O24" s="13" t="str">
        <f t="shared" ref="O24:AC24" si="20">IF(AND($I24&lt;=O$4+6,$J24&gt;=O$4),IF(OR($C24="Milestone",$C24="Gate"),"◆","■"),"")</f>
        <v/>
      </c>
      <c r="P24" s="13" t="str">
        <f t="shared" si="20"/>
        <v>■</v>
      </c>
      <c r="Q24" s="13" t="str">
        <f t="shared" si="20"/>
        <v>■</v>
      </c>
      <c r="R24" s="13" t="str">
        <f t="shared" si="20"/>
        <v/>
      </c>
      <c r="S24" s="13" t="str">
        <f t="shared" si="20"/>
        <v/>
      </c>
      <c r="T24" s="13" t="str">
        <f t="shared" si="20"/>
        <v/>
      </c>
      <c r="U24" s="13" t="str">
        <f t="shared" si="20"/>
        <v/>
      </c>
      <c r="V24" s="13" t="str">
        <f t="shared" si="20"/>
        <v/>
      </c>
      <c r="W24" s="13" t="str">
        <f t="shared" si="20"/>
        <v/>
      </c>
      <c r="X24" s="13" t="str">
        <f t="shared" si="20"/>
        <v/>
      </c>
      <c r="Y24" s="13" t="str">
        <f t="shared" si="20"/>
        <v/>
      </c>
      <c r="Z24" s="13" t="str">
        <f t="shared" si="20"/>
        <v/>
      </c>
      <c r="AA24" s="13" t="str">
        <f t="shared" si="20"/>
        <v/>
      </c>
      <c r="AB24" s="13" t="str">
        <f t="shared" si="20"/>
        <v/>
      </c>
      <c r="AC24" s="13" t="str">
        <f t="shared" si="20"/>
        <v/>
      </c>
    </row>
    <row r="25" ht="39.0" customHeight="1">
      <c r="A25" s="10" t="s">
        <v>144</v>
      </c>
      <c r="B25" s="10" t="s">
        <v>68</v>
      </c>
      <c r="C25" s="10" t="s">
        <v>20</v>
      </c>
      <c r="D25" s="10" t="s">
        <v>145</v>
      </c>
      <c r="E25" s="10" t="s">
        <v>146</v>
      </c>
      <c r="F25" s="10" t="s">
        <v>32</v>
      </c>
      <c r="G25" s="10" t="s">
        <v>58</v>
      </c>
      <c r="H25" s="11">
        <v>4.0</v>
      </c>
      <c r="I25" s="12">
        <v>46317.0</v>
      </c>
      <c r="J25" s="12">
        <v>46322.0</v>
      </c>
      <c r="K25" s="10" t="s">
        <v>72</v>
      </c>
      <c r="L25" s="10" t="s">
        <v>26</v>
      </c>
      <c r="M25" s="10" t="s">
        <v>147</v>
      </c>
      <c r="N25" s="10" t="s">
        <v>148</v>
      </c>
      <c r="O25" s="13" t="str">
        <f t="shared" ref="O25:AC25" si="21">IF(AND($I25&lt;=O$4+6,$J25&gt;=O$4),IF(OR($C25="Milestone",$C25="Gate"),"◆","■"),"")</f>
        <v/>
      </c>
      <c r="P25" s="13" t="str">
        <f t="shared" si="21"/>
        <v>■</v>
      </c>
      <c r="Q25" s="13" t="str">
        <f t="shared" si="21"/>
        <v>■</v>
      </c>
      <c r="R25" s="13" t="str">
        <f t="shared" si="21"/>
        <v/>
      </c>
      <c r="S25" s="13" t="str">
        <f t="shared" si="21"/>
        <v/>
      </c>
      <c r="T25" s="13" t="str">
        <f t="shared" si="21"/>
        <v/>
      </c>
      <c r="U25" s="13" t="str">
        <f t="shared" si="21"/>
        <v/>
      </c>
      <c r="V25" s="13" t="str">
        <f t="shared" si="21"/>
        <v/>
      </c>
      <c r="W25" s="13" t="str">
        <f t="shared" si="21"/>
        <v/>
      </c>
      <c r="X25" s="13" t="str">
        <f t="shared" si="21"/>
        <v/>
      </c>
      <c r="Y25" s="13" t="str">
        <f t="shared" si="21"/>
        <v/>
      </c>
      <c r="Z25" s="13" t="str">
        <f t="shared" si="21"/>
        <v/>
      </c>
      <c r="AA25" s="13" t="str">
        <f t="shared" si="21"/>
        <v/>
      </c>
      <c r="AB25" s="13" t="str">
        <f t="shared" si="21"/>
        <v/>
      </c>
      <c r="AC25" s="13" t="str">
        <f t="shared" si="21"/>
        <v/>
      </c>
    </row>
    <row r="26" ht="39.0" customHeight="1">
      <c r="A26" s="10" t="s">
        <v>149</v>
      </c>
      <c r="B26" s="10" t="s">
        <v>68</v>
      </c>
      <c r="C26" s="10" t="s">
        <v>20</v>
      </c>
      <c r="D26" s="10" t="s">
        <v>150</v>
      </c>
      <c r="E26" s="10" t="s">
        <v>151</v>
      </c>
      <c r="F26" s="10" t="s">
        <v>39</v>
      </c>
      <c r="G26" s="10" t="s">
        <v>152</v>
      </c>
      <c r="H26" s="11">
        <v>5.0</v>
      </c>
      <c r="I26" s="12">
        <v>46320.0</v>
      </c>
      <c r="J26" s="12">
        <v>46326.0</v>
      </c>
      <c r="K26" s="10" t="s">
        <v>153</v>
      </c>
      <c r="L26" s="10" t="s">
        <v>26</v>
      </c>
      <c r="M26" s="10" t="s">
        <v>154</v>
      </c>
      <c r="N26" s="10" t="s">
        <v>155</v>
      </c>
      <c r="O26" s="13" t="str">
        <f t="shared" ref="O26:AC26" si="22">IF(AND($I26&lt;=O$4+6,$J26&gt;=O$4),IF(OR($C26="Milestone",$C26="Gate"),"◆","■"),"")</f>
        <v/>
      </c>
      <c r="P26" s="13" t="str">
        <f t="shared" si="22"/>
        <v>■</v>
      </c>
      <c r="Q26" s="13" t="str">
        <f t="shared" si="22"/>
        <v>■</v>
      </c>
      <c r="R26" s="13" t="str">
        <f t="shared" si="22"/>
        <v/>
      </c>
      <c r="S26" s="13" t="str">
        <f t="shared" si="22"/>
        <v/>
      </c>
      <c r="T26" s="13" t="str">
        <f t="shared" si="22"/>
        <v/>
      </c>
      <c r="U26" s="13" t="str">
        <f t="shared" si="22"/>
        <v/>
      </c>
      <c r="V26" s="13" t="str">
        <f t="shared" si="22"/>
        <v/>
      </c>
      <c r="W26" s="13" t="str">
        <f t="shared" si="22"/>
        <v/>
      </c>
      <c r="X26" s="13" t="str">
        <f t="shared" si="22"/>
        <v/>
      </c>
      <c r="Y26" s="13" t="str">
        <f t="shared" si="22"/>
        <v/>
      </c>
      <c r="Z26" s="13" t="str">
        <f t="shared" si="22"/>
        <v/>
      </c>
      <c r="AA26" s="13" t="str">
        <f t="shared" si="22"/>
        <v/>
      </c>
      <c r="AB26" s="13" t="str">
        <f t="shared" si="22"/>
        <v/>
      </c>
      <c r="AC26" s="13" t="str">
        <f t="shared" si="22"/>
        <v/>
      </c>
    </row>
    <row r="27" ht="39.0" customHeight="1">
      <c r="A27" s="10" t="s">
        <v>156</v>
      </c>
      <c r="B27" s="10" t="s">
        <v>68</v>
      </c>
      <c r="C27" s="10" t="s">
        <v>20</v>
      </c>
      <c r="D27" s="10" t="s">
        <v>157</v>
      </c>
      <c r="E27" s="10" t="s">
        <v>158</v>
      </c>
      <c r="F27" s="10" t="s">
        <v>32</v>
      </c>
      <c r="G27" s="10" t="s">
        <v>52</v>
      </c>
      <c r="H27" s="11">
        <v>3.0</v>
      </c>
      <c r="I27" s="12">
        <v>46319.0</v>
      </c>
      <c r="J27" s="12">
        <v>46323.0</v>
      </c>
      <c r="K27" s="10" t="s">
        <v>102</v>
      </c>
      <c r="L27" s="10" t="s">
        <v>26</v>
      </c>
      <c r="M27" s="10" t="s">
        <v>159</v>
      </c>
      <c r="N27" s="10" t="s">
        <v>160</v>
      </c>
      <c r="O27" s="13" t="str">
        <f t="shared" ref="O27:AC27" si="23">IF(AND($I27&lt;=O$4+6,$J27&gt;=O$4),IF(OR($C27="Milestone",$C27="Gate"),"◆","■"),"")</f>
        <v/>
      </c>
      <c r="P27" s="13" t="str">
        <f t="shared" si="23"/>
        <v>■</v>
      </c>
      <c r="Q27" s="13" t="str">
        <f t="shared" si="23"/>
        <v>■</v>
      </c>
      <c r="R27" s="13" t="str">
        <f t="shared" si="23"/>
        <v/>
      </c>
      <c r="S27" s="13" t="str">
        <f t="shared" si="23"/>
        <v/>
      </c>
      <c r="T27" s="13" t="str">
        <f t="shared" si="23"/>
        <v/>
      </c>
      <c r="U27" s="13" t="str">
        <f t="shared" si="23"/>
        <v/>
      </c>
      <c r="V27" s="13" t="str">
        <f t="shared" si="23"/>
        <v/>
      </c>
      <c r="W27" s="13" t="str">
        <f t="shared" si="23"/>
        <v/>
      </c>
      <c r="X27" s="13" t="str">
        <f t="shared" si="23"/>
        <v/>
      </c>
      <c r="Y27" s="13" t="str">
        <f t="shared" si="23"/>
        <v/>
      </c>
      <c r="Z27" s="13" t="str">
        <f t="shared" si="23"/>
        <v/>
      </c>
      <c r="AA27" s="13" t="str">
        <f t="shared" si="23"/>
        <v/>
      </c>
      <c r="AB27" s="13" t="str">
        <f t="shared" si="23"/>
        <v/>
      </c>
      <c r="AC27" s="13" t="str">
        <f t="shared" si="23"/>
        <v/>
      </c>
    </row>
    <row r="28" ht="39.0" customHeight="1">
      <c r="A28" s="10" t="s">
        <v>161</v>
      </c>
      <c r="B28" s="10" t="s">
        <v>68</v>
      </c>
      <c r="C28" s="10" t="s">
        <v>20</v>
      </c>
      <c r="D28" s="10" t="s">
        <v>162</v>
      </c>
      <c r="E28" s="10" t="s">
        <v>163</v>
      </c>
      <c r="F28" s="10" t="s">
        <v>46</v>
      </c>
      <c r="G28" s="10" t="s">
        <v>24</v>
      </c>
      <c r="H28" s="11">
        <v>6.0</v>
      </c>
      <c r="I28" s="12">
        <v>46315.0</v>
      </c>
      <c r="J28" s="12">
        <v>46326.0</v>
      </c>
      <c r="K28" s="10" t="s">
        <v>164</v>
      </c>
      <c r="L28" s="10" t="s">
        <v>26</v>
      </c>
      <c r="M28" s="10" t="s">
        <v>165</v>
      </c>
      <c r="N28" s="10" t="s">
        <v>166</v>
      </c>
      <c r="O28" s="13" t="str">
        <f t="shared" ref="O28:AC28" si="24">IF(AND($I28&lt;=O$4+6,$J28&gt;=O$4),IF(OR($C28="Milestone",$C28="Gate"),"◆","■"),"")</f>
        <v/>
      </c>
      <c r="P28" s="13" t="str">
        <f t="shared" si="24"/>
        <v>■</v>
      </c>
      <c r="Q28" s="13" t="str">
        <f t="shared" si="24"/>
        <v>■</v>
      </c>
      <c r="R28" s="13" t="str">
        <f t="shared" si="24"/>
        <v/>
      </c>
      <c r="S28" s="13" t="str">
        <f t="shared" si="24"/>
        <v/>
      </c>
      <c r="T28" s="13" t="str">
        <f t="shared" si="24"/>
        <v/>
      </c>
      <c r="U28" s="13" t="str">
        <f t="shared" si="24"/>
        <v/>
      </c>
      <c r="V28" s="13" t="str">
        <f t="shared" si="24"/>
        <v/>
      </c>
      <c r="W28" s="13" t="str">
        <f t="shared" si="24"/>
        <v/>
      </c>
      <c r="X28" s="13" t="str">
        <f t="shared" si="24"/>
        <v/>
      </c>
      <c r="Y28" s="13" t="str">
        <f t="shared" si="24"/>
        <v/>
      </c>
      <c r="Z28" s="13" t="str">
        <f t="shared" si="24"/>
        <v/>
      </c>
      <c r="AA28" s="13" t="str">
        <f t="shared" si="24"/>
        <v/>
      </c>
      <c r="AB28" s="13" t="str">
        <f t="shared" si="24"/>
        <v/>
      </c>
      <c r="AC28" s="13" t="str">
        <f t="shared" si="24"/>
        <v/>
      </c>
    </row>
    <row r="29" ht="39.0" customHeight="1">
      <c r="A29" s="10" t="s">
        <v>167</v>
      </c>
      <c r="B29" s="10" t="s">
        <v>68</v>
      </c>
      <c r="C29" s="10" t="s">
        <v>20</v>
      </c>
      <c r="D29" s="10" t="s">
        <v>168</v>
      </c>
      <c r="E29" s="10" t="s">
        <v>169</v>
      </c>
      <c r="F29" s="10" t="s">
        <v>46</v>
      </c>
      <c r="G29" s="10" t="s">
        <v>58</v>
      </c>
      <c r="H29" s="11">
        <v>6.0</v>
      </c>
      <c r="I29" s="12">
        <v>46318.0</v>
      </c>
      <c r="J29" s="12">
        <v>46327.0</v>
      </c>
      <c r="K29" s="10" t="s">
        <v>170</v>
      </c>
      <c r="L29" s="10" t="s">
        <v>26</v>
      </c>
      <c r="M29" s="10" t="s">
        <v>171</v>
      </c>
      <c r="N29" s="10" t="s">
        <v>172</v>
      </c>
      <c r="O29" s="13" t="str">
        <f t="shared" ref="O29:AC29" si="25">IF(AND($I29&lt;=O$4+6,$J29&gt;=O$4),IF(OR($C29="Milestone",$C29="Gate"),"◆","■"),"")</f>
        <v/>
      </c>
      <c r="P29" s="13" t="str">
        <f t="shared" si="25"/>
        <v>■</v>
      </c>
      <c r="Q29" s="13" t="str">
        <f t="shared" si="25"/>
        <v>■</v>
      </c>
      <c r="R29" s="13" t="str">
        <f t="shared" si="25"/>
        <v/>
      </c>
      <c r="S29" s="13" t="str">
        <f t="shared" si="25"/>
        <v/>
      </c>
      <c r="T29" s="13" t="str">
        <f t="shared" si="25"/>
        <v/>
      </c>
      <c r="U29" s="13" t="str">
        <f t="shared" si="25"/>
        <v/>
      </c>
      <c r="V29" s="13" t="str">
        <f t="shared" si="25"/>
        <v/>
      </c>
      <c r="W29" s="13" t="str">
        <f t="shared" si="25"/>
        <v/>
      </c>
      <c r="X29" s="13" t="str">
        <f t="shared" si="25"/>
        <v/>
      </c>
      <c r="Y29" s="13" t="str">
        <f t="shared" si="25"/>
        <v/>
      </c>
      <c r="Z29" s="13" t="str">
        <f t="shared" si="25"/>
        <v/>
      </c>
      <c r="AA29" s="13" t="str">
        <f t="shared" si="25"/>
        <v/>
      </c>
      <c r="AB29" s="13" t="str">
        <f t="shared" si="25"/>
        <v/>
      </c>
      <c r="AC29" s="13" t="str">
        <f t="shared" si="25"/>
        <v/>
      </c>
    </row>
    <row r="30" ht="39.0" customHeight="1">
      <c r="A30" s="10" t="s">
        <v>173</v>
      </c>
      <c r="B30" s="10" t="s">
        <v>68</v>
      </c>
      <c r="C30" s="10" t="s">
        <v>20</v>
      </c>
      <c r="D30" s="10" t="s">
        <v>174</v>
      </c>
      <c r="E30" s="10" t="s">
        <v>175</v>
      </c>
      <c r="F30" s="10" t="s">
        <v>23</v>
      </c>
      <c r="G30" s="10" t="s">
        <v>24</v>
      </c>
      <c r="H30" s="11">
        <v>5.0</v>
      </c>
      <c r="I30" s="12">
        <v>46320.0</v>
      </c>
      <c r="J30" s="12">
        <v>46327.0</v>
      </c>
      <c r="K30" s="10" t="s">
        <v>176</v>
      </c>
      <c r="L30" s="10" t="s">
        <v>26</v>
      </c>
      <c r="M30" s="10" t="s">
        <v>177</v>
      </c>
      <c r="N30" s="10" t="s">
        <v>178</v>
      </c>
      <c r="O30" s="13" t="str">
        <f t="shared" ref="O30:AC30" si="26">IF(AND($I30&lt;=O$4+6,$J30&gt;=O$4),IF(OR($C30="Milestone",$C30="Gate"),"◆","■"),"")</f>
        <v/>
      </c>
      <c r="P30" s="13" t="str">
        <f t="shared" si="26"/>
        <v>■</v>
      </c>
      <c r="Q30" s="13" t="str">
        <f t="shared" si="26"/>
        <v>■</v>
      </c>
      <c r="R30" s="13" t="str">
        <f t="shared" si="26"/>
        <v/>
      </c>
      <c r="S30" s="13" t="str">
        <f t="shared" si="26"/>
        <v/>
      </c>
      <c r="T30" s="13" t="str">
        <f t="shared" si="26"/>
        <v/>
      </c>
      <c r="U30" s="13" t="str">
        <f t="shared" si="26"/>
        <v/>
      </c>
      <c r="V30" s="13" t="str">
        <f t="shared" si="26"/>
        <v/>
      </c>
      <c r="W30" s="13" t="str">
        <f t="shared" si="26"/>
        <v/>
      </c>
      <c r="X30" s="13" t="str">
        <f t="shared" si="26"/>
        <v/>
      </c>
      <c r="Y30" s="13" t="str">
        <f t="shared" si="26"/>
        <v/>
      </c>
      <c r="Z30" s="13" t="str">
        <f t="shared" si="26"/>
        <v/>
      </c>
      <c r="AA30" s="13" t="str">
        <f t="shared" si="26"/>
        <v/>
      </c>
      <c r="AB30" s="13" t="str">
        <f t="shared" si="26"/>
        <v/>
      </c>
      <c r="AC30" s="13" t="str">
        <f t="shared" si="26"/>
        <v/>
      </c>
    </row>
    <row r="31" ht="39.0" customHeight="1">
      <c r="A31" s="10" t="s">
        <v>179</v>
      </c>
      <c r="B31" s="10" t="s">
        <v>68</v>
      </c>
      <c r="C31" s="10" t="s">
        <v>20</v>
      </c>
      <c r="D31" s="10" t="s">
        <v>180</v>
      </c>
      <c r="E31" s="10" t="s">
        <v>181</v>
      </c>
      <c r="F31" s="10" t="s">
        <v>46</v>
      </c>
      <c r="G31" s="10" t="s">
        <v>24</v>
      </c>
      <c r="H31" s="11">
        <v>4.0</v>
      </c>
      <c r="I31" s="12">
        <v>46325.0</v>
      </c>
      <c r="J31" s="12">
        <v>46328.0</v>
      </c>
      <c r="K31" s="10" t="s">
        <v>182</v>
      </c>
      <c r="L31" s="10" t="s">
        <v>26</v>
      </c>
      <c r="M31" s="10" t="s">
        <v>183</v>
      </c>
      <c r="N31" s="10" t="s">
        <v>184</v>
      </c>
      <c r="O31" s="13" t="str">
        <f t="shared" ref="O31:AC31" si="27">IF(AND($I31&lt;=O$4+6,$J31&gt;=O$4),IF(OR($C31="Milestone",$C31="Gate"),"◆","■"),"")</f>
        <v/>
      </c>
      <c r="P31" s="13" t="str">
        <f t="shared" si="27"/>
        <v/>
      </c>
      <c r="Q31" s="13" t="str">
        <f t="shared" si="27"/>
        <v>■</v>
      </c>
      <c r="R31" s="13" t="str">
        <f t="shared" si="27"/>
        <v>■</v>
      </c>
      <c r="S31" s="13" t="str">
        <f t="shared" si="27"/>
        <v/>
      </c>
      <c r="T31" s="13" t="str">
        <f t="shared" si="27"/>
        <v/>
      </c>
      <c r="U31" s="13" t="str">
        <f t="shared" si="27"/>
        <v/>
      </c>
      <c r="V31" s="13" t="str">
        <f t="shared" si="27"/>
        <v/>
      </c>
      <c r="W31" s="13" t="str">
        <f t="shared" si="27"/>
        <v/>
      </c>
      <c r="X31" s="13" t="str">
        <f t="shared" si="27"/>
        <v/>
      </c>
      <c r="Y31" s="13" t="str">
        <f t="shared" si="27"/>
        <v/>
      </c>
      <c r="Z31" s="13" t="str">
        <f t="shared" si="27"/>
        <v/>
      </c>
      <c r="AA31" s="13" t="str">
        <f t="shared" si="27"/>
        <v/>
      </c>
      <c r="AB31" s="13" t="str">
        <f t="shared" si="27"/>
        <v/>
      </c>
      <c r="AC31" s="13" t="str">
        <f t="shared" si="27"/>
        <v/>
      </c>
    </row>
    <row r="32" ht="39.0" customHeight="1">
      <c r="A32" s="10" t="s">
        <v>185</v>
      </c>
      <c r="B32" s="10" t="s">
        <v>68</v>
      </c>
      <c r="C32" s="10" t="s">
        <v>186</v>
      </c>
      <c r="D32" s="10" t="s">
        <v>187</v>
      </c>
      <c r="E32" s="10" t="s">
        <v>188</v>
      </c>
      <c r="F32" s="10" t="s">
        <v>23</v>
      </c>
      <c r="G32" s="10" t="s">
        <v>24</v>
      </c>
      <c r="H32" s="11">
        <v>1.0</v>
      </c>
      <c r="I32" s="12">
        <v>46328.0</v>
      </c>
      <c r="J32" s="12">
        <v>46328.0</v>
      </c>
      <c r="K32" s="10" t="s">
        <v>179</v>
      </c>
      <c r="L32" s="10" t="s">
        <v>26</v>
      </c>
      <c r="M32" s="10" t="s">
        <v>189</v>
      </c>
      <c r="N32" s="10" t="s">
        <v>190</v>
      </c>
      <c r="O32" s="13" t="str">
        <f t="shared" ref="O32:AC32" si="28">IF(AND($I32&lt;=O$4+6,$J32&gt;=O$4),IF(OR($C32="Milestone",$C32="Gate"),"◆","■"),"")</f>
        <v/>
      </c>
      <c r="P32" s="13" t="str">
        <f t="shared" si="28"/>
        <v/>
      </c>
      <c r="Q32" s="13" t="str">
        <f t="shared" si="28"/>
        <v/>
      </c>
      <c r="R32" s="13" t="str">
        <f t="shared" si="28"/>
        <v>◆</v>
      </c>
      <c r="S32" s="13" t="str">
        <f t="shared" si="28"/>
        <v/>
      </c>
      <c r="T32" s="13" t="str">
        <f t="shared" si="28"/>
        <v/>
      </c>
      <c r="U32" s="13" t="str">
        <f t="shared" si="28"/>
        <v/>
      </c>
      <c r="V32" s="13" t="str">
        <f t="shared" si="28"/>
        <v/>
      </c>
      <c r="W32" s="13" t="str">
        <f t="shared" si="28"/>
        <v/>
      </c>
      <c r="X32" s="13" t="str">
        <f t="shared" si="28"/>
        <v/>
      </c>
      <c r="Y32" s="13" t="str">
        <f t="shared" si="28"/>
        <v/>
      </c>
      <c r="Z32" s="13" t="str">
        <f t="shared" si="28"/>
        <v/>
      </c>
      <c r="AA32" s="13" t="str">
        <f t="shared" si="28"/>
        <v/>
      </c>
      <c r="AB32" s="13" t="str">
        <f t="shared" si="28"/>
        <v/>
      </c>
      <c r="AC32" s="13" t="str">
        <f t="shared" si="28"/>
        <v/>
      </c>
    </row>
    <row r="33" ht="39.0" customHeight="1">
      <c r="A33" s="10" t="s">
        <v>191</v>
      </c>
      <c r="B33" s="10" t="s">
        <v>192</v>
      </c>
      <c r="C33" s="10" t="s">
        <v>20</v>
      </c>
      <c r="D33" s="10" t="s">
        <v>193</v>
      </c>
      <c r="E33" s="10" t="s">
        <v>194</v>
      </c>
      <c r="F33" s="10" t="s">
        <v>23</v>
      </c>
      <c r="G33" s="10" t="s">
        <v>152</v>
      </c>
      <c r="H33" s="11">
        <v>5.0</v>
      </c>
      <c r="I33" s="12">
        <v>46329.0</v>
      </c>
      <c r="J33" s="12">
        <v>46334.0</v>
      </c>
      <c r="K33" s="10" t="s">
        <v>185</v>
      </c>
      <c r="L33" s="10" t="s">
        <v>26</v>
      </c>
      <c r="M33" s="10" t="s">
        <v>195</v>
      </c>
      <c r="N33" s="10" t="s">
        <v>196</v>
      </c>
      <c r="O33" s="13" t="str">
        <f t="shared" ref="O33:AC33" si="29">IF(AND($I33&lt;=O$4+6,$J33&gt;=O$4),IF(OR($C33="Milestone",$C33="Gate"),"◆","■"),"")</f>
        <v/>
      </c>
      <c r="P33" s="13" t="str">
        <f t="shared" si="29"/>
        <v/>
      </c>
      <c r="Q33" s="13" t="str">
        <f t="shared" si="29"/>
        <v/>
      </c>
      <c r="R33" s="13" t="str">
        <f t="shared" si="29"/>
        <v>■</v>
      </c>
      <c r="S33" s="13" t="str">
        <f t="shared" si="29"/>
        <v/>
      </c>
      <c r="T33" s="13" t="str">
        <f t="shared" si="29"/>
        <v/>
      </c>
      <c r="U33" s="13" t="str">
        <f t="shared" si="29"/>
        <v/>
      </c>
      <c r="V33" s="13" t="str">
        <f t="shared" si="29"/>
        <v/>
      </c>
      <c r="W33" s="13" t="str">
        <f t="shared" si="29"/>
        <v/>
      </c>
      <c r="X33" s="13" t="str">
        <f t="shared" si="29"/>
        <v/>
      </c>
      <c r="Y33" s="13" t="str">
        <f t="shared" si="29"/>
        <v/>
      </c>
      <c r="Z33" s="13" t="str">
        <f t="shared" si="29"/>
        <v/>
      </c>
      <c r="AA33" s="13" t="str">
        <f t="shared" si="29"/>
        <v/>
      </c>
      <c r="AB33" s="13" t="str">
        <f t="shared" si="29"/>
        <v/>
      </c>
      <c r="AC33" s="13" t="str">
        <f t="shared" si="29"/>
        <v/>
      </c>
    </row>
    <row r="34" ht="39.0" customHeight="1">
      <c r="A34" s="10" t="s">
        <v>197</v>
      </c>
      <c r="B34" s="10" t="s">
        <v>192</v>
      </c>
      <c r="C34" s="10" t="s">
        <v>20</v>
      </c>
      <c r="D34" s="10" t="s">
        <v>198</v>
      </c>
      <c r="E34" s="10" t="s">
        <v>199</v>
      </c>
      <c r="F34" s="10" t="s">
        <v>23</v>
      </c>
      <c r="G34" s="10" t="s">
        <v>52</v>
      </c>
      <c r="H34" s="11">
        <v>4.0</v>
      </c>
      <c r="I34" s="12">
        <v>46329.0</v>
      </c>
      <c r="J34" s="12">
        <v>46340.0</v>
      </c>
      <c r="K34" s="10" t="s">
        <v>191</v>
      </c>
      <c r="L34" s="10" t="s">
        <v>26</v>
      </c>
      <c r="M34" s="10" t="s">
        <v>200</v>
      </c>
      <c r="N34" s="10" t="s">
        <v>201</v>
      </c>
      <c r="O34" s="13" t="str">
        <f t="shared" ref="O34:AC34" si="30">IF(AND($I34&lt;=O$4+6,$J34&gt;=O$4),IF(OR($C34="Milestone",$C34="Gate"),"◆","■"),"")</f>
        <v/>
      </c>
      <c r="P34" s="13" t="str">
        <f t="shared" si="30"/>
        <v/>
      </c>
      <c r="Q34" s="13" t="str">
        <f t="shared" si="30"/>
        <v/>
      </c>
      <c r="R34" s="13" t="str">
        <f t="shared" si="30"/>
        <v>■</v>
      </c>
      <c r="S34" s="13" t="str">
        <f t="shared" si="30"/>
        <v>■</v>
      </c>
      <c r="T34" s="13" t="str">
        <f t="shared" si="30"/>
        <v/>
      </c>
      <c r="U34" s="13" t="str">
        <f t="shared" si="30"/>
        <v/>
      </c>
      <c r="V34" s="13" t="str">
        <f t="shared" si="30"/>
        <v/>
      </c>
      <c r="W34" s="13" t="str">
        <f t="shared" si="30"/>
        <v/>
      </c>
      <c r="X34" s="13" t="str">
        <f t="shared" si="30"/>
        <v/>
      </c>
      <c r="Y34" s="13" t="str">
        <f t="shared" si="30"/>
        <v/>
      </c>
      <c r="Z34" s="13" t="str">
        <f t="shared" si="30"/>
        <v/>
      </c>
      <c r="AA34" s="13" t="str">
        <f t="shared" si="30"/>
        <v/>
      </c>
      <c r="AB34" s="13" t="str">
        <f t="shared" si="30"/>
        <v/>
      </c>
      <c r="AC34" s="13" t="str">
        <f t="shared" si="30"/>
        <v/>
      </c>
    </row>
    <row r="35" ht="39.0" customHeight="1">
      <c r="A35" s="10" t="s">
        <v>202</v>
      </c>
      <c r="B35" s="10" t="s">
        <v>192</v>
      </c>
      <c r="C35" s="10" t="s">
        <v>20</v>
      </c>
      <c r="D35" s="10" t="s">
        <v>198</v>
      </c>
      <c r="E35" s="10" t="s">
        <v>203</v>
      </c>
      <c r="F35" s="10" t="s">
        <v>39</v>
      </c>
      <c r="G35" s="10" t="s">
        <v>40</v>
      </c>
      <c r="H35" s="11">
        <v>4.0</v>
      </c>
      <c r="I35" s="12">
        <v>46329.0</v>
      </c>
      <c r="J35" s="12">
        <v>46340.0</v>
      </c>
      <c r="K35" s="10" t="s">
        <v>191</v>
      </c>
      <c r="L35" s="10" t="s">
        <v>26</v>
      </c>
      <c r="M35" s="10" t="s">
        <v>200</v>
      </c>
      <c r="N35" s="10" t="s">
        <v>201</v>
      </c>
      <c r="O35" s="13" t="str">
        <f t="shared" ref="O35:AC35" si="31">IF(AND($I35&lt;=O$4+6,$J35&gt;=O$4),IF(OR($C35="Milestone",$C35="Gate"),"◆","■"),"")</f>
        <v/>
      </c>
      <c r="P35" s="13" t="str">
        <f t="shared" si="31"/>
        <v/>
      </c>
      <c r="Q35" s="13" t="str">
        <f t="shared" si="31"/>
        <v/>
      </c>
      <c r="R35" s="13" t="str">
        <f t="shared" si="31"/>
        <v>■</v>
      </c>
      <c r="S35" s="13" t="str">
        <f t="shared" si="31"/>
        <v>■</v>
      </c>
      <c r="T35" s="13" t="str">
        <f t="shared" si="31"/>
        <v/>
      </c>
      <c r="U35" s="13" t="str">
        <f t="shared" si="31"/>
        <v/>
      </c>
      <c r="V35" s="13" t="str">
        <f t="shared" si="31"/>
        <v/>
      </c>
      <c r="W35" s="13" t="str">
        <f t="shared" si="31"/>
        <v/>
      </c>
      <c r="X35" s="13" t="str">
        <f t="shared" si="31"/>
        <v/>
      </c>
      <c r="Y35" s="13" t="str">
        <f t="shared" si="31"/>
        <v/>
      </c>
      <c r="Z35" s="13" t="str">
        <f t="shared" si="31"/>
        <v/>
      </c>
      <c r="AA35" s="13" t="str">
        <f t="shared" si="31"/>
        <v/>
      </c>
      <c r="AB35" s="13" t="str">
        <f t="shared" si="31"/>
        <v/>
      </c>
      <c r="AC35" s="13" t="str">
        <f t="shared" si="31"/>
        <v/>
      </c>
    </row>
    <row r="36" ht="39.0" customHeight="1">
      <c r="A36" s="10" t="s">
        <v>204</v>
      </c>
      <c r="B36" s="10" t="s">
        <v>192</v>
      </c>
      <c r="C36" s="10" t="s">
        <v>20</v>
      </c>
      <c r="D36" s="10" t="s">
        <v>198</v>
      </c>
      <c r="E36" s="10" t="s">
        <v>205</v>
      </c>
      <c r="F36" s="10" t="s">
        <v>32</v>
      </c>
      <c r="G36" s="10" t="s">
        <v>40</v>
      </c>
      <c r="H36" s="11">
        <v>4.0</v>
      </c>
      <c r="I36" s="12">
        <v>46329.0</v>
      </c>
      <c r="J36" s="12">
        <v>46340.0</v>
      </c>
      <c r="K36" s="10" t="s">
        <v>191</v>
      </c>
      <c r="L36" s="10" t="s">
        <v>26</v>
      </c>
      <c r="M36" s="10" t="s">
        <v>200</v>
      </c>
      <c r="N36" s="10" t="s">
        <v>201</v>
      </c>
      <c r="O36" s="13" t="str">
        <f t="shared" ref="O36:AC36" si="32">IF(AND($I36&lt;=O$4+6,$J36&gt;=O$4),IF(OR($C36="Milestone",$C36="Gate"),"◆","■"),"")</f>
        <v/>
      </c>
      <c r="P36" s="13" t="str">
        <f t="shared" si="32"/>
        <v/>
      </c>
      <c r="Q36" s="13" t="str">
        <f t="shared" si="32"/>
        <v/>
      </c>
      <c r="R36" s="13" t="str">
        <f t="shared" si="32"/>
        <v>■</v>
      </c>
      <c r="S36" s="13" t="str">
        <f t="shared" si="32"/>
        <v>■</v>
      </c>
      <c r="T36" s="13" t="str">
        <f t="shared" si="32"/>
        <v/>
      </c>
      <c r="U36" s="13" t="str">
        <f t="shared" si="32"/>
        <v/>
      </c>
      <c r="V36" s="13" t="str">
        <f t="shared" si="32"/>
        <v/>
      </c>
      <c r="W36" s="13" t="str">
        <f t="shared" si="32"/>
        <v/>
      </c>
      <c r="X36" s="13" t="str">
        <f t="shared" si="32"/>
        <v/>
      </c>
      <c r="Y36" s="13" t="str">
        <f t="shared" si="32"/>
        <v/>
      </c>
      <c r="Z36" s="13" t="str">
        <f t="shared" si="32"/>
        <v/>
      </c>
      <c r="AA36" s="13" t="str">
        <f t="shared" si="32"/>
        <v/>
      </c>
      <c r="AB36" s="13" t="str">
        <f t="shared" si="32"/>
        <v/>
      </c>
      <c r="AC36" s="13" t="str">
        <f t="shared" si="32"/>
        <v/>
      </c>
    </row>
    <row r="37" ht="39.0" customHeight="1">
      <c r="A37" s="10" t="s">
        <v>206</v>
      </c>
      <c r="B37" s="10" t="s">
        <v>192</v>
      </c>
      <c r="C37" s="10" t="s">
        <v>20</v>
      </c>
      <c r="D37" s="10" t="s">
        <v>198</v>
      </c>
      <c r="E37" s="10" t="s">
        <v>207</v>
      </c>
      <c r="F37" s="10" t="s">
        <v>46</v>
      </c>
      <c r="G37" s="10" t="s">
        <v>40</v>
      </c>
      <c r="H37" s="11">
        <v>4.0</v>
      </c>
      <c r="I37" s="12">
        <v>46329.0</v>
      </c>
      <c r="J37" s="12">
        <v>46340.0</v>
      </c>
      <c r="K37" s="10" t="s">
        <v>191</v>
      </c>
      <c r="L37" s="10" t="s">
        <v>26</v>
      </c>
      <c r="M37" s="10" t="s">
        <v>208</v>
      </c>
      <c r="N37" s="10" t="s">
        <v>209</v>
      </c>
      <c r="O37" s="13" t="str">
        <f t="shared" ref="O37:AC37" si="33">IF(AND($I37&lt;=O$4+6,$J37&gt;=O$4),IF(OR($C37="Milestone",$C37="Gate"),"◆","■"),"")</f>
        <v/>
      </c>
      <c r="P37" s="13" t="str">
        <f t="shared" si="33"/>
        <v/>
      </c>
      <c r="Q37" s="13" t="str">
        <f t="shared" si="33"/>
        <v/>
      </c>
      <c r="R37" s="13" t="str">
        <f t="shared" si="33"/>
        <v>■</v>
      </c>
      <c r="S37" s="13" t="str">
        <f t="shared" si="33"/>
        <v>■</v>
      </c>
      <c r="T37" s="13" t="str">
        <f t="shared" si="33"/>
        <v/>
      </c>
      <c r="U37" s="13" t="str">
        <f t="shared" si="33"/>
        <v/>
      </c>
      <c r="V37" s="13" t="str">
        <f t="shared" si="33"/>
        <v/>
      </c>
      <c r="W37" s="13" t="str">
        <f t="shared" si="33"/>
        <v/>
      </c>
      <c r="X37" s="13" t="str">
        <f t="shared" si="33"/>
        <v/>
      </c>
      <c r="Y37" s="13" t="str">
        <f t="shared" si="33"/>
        <v/>
      </c>
      <c r="Z37" s="13" t="str">
        <f t="shared" si="33"/>
        <v/>
      </c>
      <c r="AA37" s="13" t="str">
        <f t="shared" si="33"/>
        <v/>
      </c>
      <c r="AB37" s="13" t="str">
        <f t="shared" si="33"/>
        <v/>
      </c>
      <c r="AC37" s="13" t="str">
        <f t="shared" si="33"/>
        <v/>
      </c>
    </row>
    <row r="38" ht="39.0" customHeight="1">
      <c r="A38" s="10" t="s">
        <v>210</v>
      </c>
      <c r="B38" s="10" t="s">
        <v>192</v>
      </c>
      <c r="C38" s="10" t="s">
        <v>20</v>
      </c>
      <c r="D38" s="10" t="s">
        <v>211</v>
      </c>
      <c r="E38" s="10" t="s">
        <v>212</v>
      </c>
      <c r="F38" s="10" t="s">
        <v>32</v>
      </c>
      <c r="G38" s="10" t="s">
        <v>40</v>
      </c>
      <c r="H38" s="11">
        <v>6.0</v>
      </c>
      <c r="I38" s="12">
        <v>46335.0</v>
      </c>
      <c r="J38" s="12">
        <v>46348.0</v>
      </c>
      <c r="K38" s="10" t="s">
        <v>213</v>
      </c>
      <c r="L38" s="10" t="s">
        <v>26</v>
      </c>
      <c r="M38" s="10" t="s">
        <v>214</v>
      </c>
      <c r="N38" s="10" t="s">
        <v>215</v>
      </c>
      <c r="O38" s="13" t="str">
        <f t="shared" ref="O38:AC38" si="34">IF(AND($I38&lt;=O$4+6,$J38&gt;=O$4),IF(OR($C38="Milestone",$C38="Gate"),"◆","■"),"")</f>
        <v/>
      </c>
      <c r="P38" s="13" t="str">
        <f t="shared" si="34"/>
        <v/>
      </c>
      <c r="Q38" s="13" t="str">
        <f t="shared" si="34"/>
        <v/>
      </c>
      <c r="R38" s="13" t="str">
        <f t="shared" si="34"/>
        <v/>
      </c>
      <c r="S38" s="13" t="str">
        <f t="shared" si="34"/>
        <v>■</v>
      </c>
      <c r="T38" s="13" t="str">
        <f t="shared" si="34"/>
        <v>■</v>
      </c>
      <c r="U38" s="13" t="str">
        <f t="shared" si="34"/>
        <v/>
      </c>
      <c r="V38" s="13" t="str">
        <f t="shared" si="34"/>
        <v/>
      </c>
      <c r="W38" s="13" t="str">
        <f t="shared" si="34"/>
        <v/>
      </c>
      <c r="X38" s="13" t="str">
        <f t="shared" si="34"/>
        <v/>
      </c>
      <c r="Y38" s="13" t="str">
        <f t="shared" si="34"/>
        <v/>
      </c>
      <c r="Z38" s="13" t="str">
        <f t="shared" si="34"/>
        <v/>
      </c>
      <c r="AA38" s="13" t="str">
        <f t="shared" si="34"/>
        <v/>
      </c>
      <c r="AB38" s="13" t="str">
        <f t="shared" si="34"/>
        <v/>
      </c>
      <c r="AC38" s="13" t="str">
        <f t="shared" si="34"/>
        <v/>
      </c>
    </row>
    <row r="39" ht="39.0" customHeight="1">
      <c r="A39" s="10" t="s">
        <v>216</v>
      </c>
      <c r="B39" s="10" t="s">
        <v>192</v>
      </c>
      <c r="C39" s="10" t="s">
        <v>20</v>
      </c>
      <c r="D39" s="10" t="s">
        <v>217</v>
      </c>
      <c r="E39" s="10" t="s">
        <v>218</v>
      </c>
      <c r="F39" s="10" t="s">
        <v>32</v>
      </c>
      <c r="G39" s="10" t="s">
        <v>52</v>
      </c>
      <c r="H39" s="11">
        <v>7.0</v>
      </c>
      <c r="I39" s="12">
        <v>46342.0</v>
      </c>
      <c r="J39" s="12">
        <v>46355.0</v>
      </c>
      <c r="K39" s="10" t="s">
        <v>210</v>
      </c>
      <c r="L39" s="10" t="s">
        <v>26</v>
      </c>
      <c r="M39" s="10" t="s">
        <v>219</v>
      </c>
      <c r="N39" s="10" t="s">
        <v>220</v>
      </c>
      <c r="O39" s="13" t="str">
        <f t="shared" ref="O39:AC39" si="35">IF(AND($I39&lt;=O$4+6,$J39&gt;=O$4),IF(OR($C39="Milestone",$C39="Gate"),"◆","■"),"")</f>
        <v/>
      </c>
      <c r="P39" s="13" t="str">
        <f t="shared" si="35"/>
        <v/>
      </c>
      <c r="Q39" s="13" t="str">
        <f t="shared" si="35"/>
        <v/>
      </c>
      <c r="R39" s="13" t="str">
        <f t="shared" si="35"/>
        <v/>
      </c>
      <c r="S39" s="13" t="str">
        <f t="shared" si="35"/>
        <v/>
      </c>
      <c r="T39" s="13" t="str">
        <f t="shared" si="35"/>
        <v>■</v>
      </c>
      <c r="U39" s="13" t="str">
        <f t="shared" si="35"/>
        <v>■</v>
      </c>
      <c r="V39" s="13" t="str">
        <f t="shared" si="35"/>
        <v/>
      </c>
      <c r="W39" s="13" t="str">
        <f t="shared" si="35"/>
        <v/>
      </c>
      <c r="X39" s="13" t="str">
        <f t="shared" si="35"/>
        <v/>
      </c>
      <c r="Y39" s="13" t="str">
        <f t="shared" si="35"/>
        <v/>
      </c>
      <c r="Z39" s="13" t="str">
        <f t="shared" si="35"/>
        <v/>
      </c>
      <c r="AA39" s="13" t="str">
        <f t="shared" si="35"/>
        <v/>
      </c>
      <c r="AB39" s="13" t="str">
        <f t="shared" si="35"/>
        <v/>
      </c>
      <c r="AC39" s="13" t="str">
        <f t="shared" si="35"/>
        <v/>
      </c>
    </row>
    <row r="40" ht="39.0" customHeight="1">
      <c r="A40" s="10" t="s">
        <v>221</v>
      </c>
      <c r="B40" s="10" t="s">
        <v>192</v>
      </c>
      <c r="C40" s="10" t="s">
        <v>20</v>
      </c>
      <c r="D40" s="10" t="s">
        <v>222</v>
      </c>
      <c r="E40" s="10" t="s">
        <v>223</v>
      </c>
      <c r="F40" s="10" t="s">
        <v>39</v>
      </c>
      <c r="G40" s="10" t="s">
        <v>64</v>
      </c>
      <c r="H40" s="11">
        <v>7.0</v>
      </c>
      <c r="I40" s="12">
        <v>46342.0</v>
      </c>
      <c r="J40" s="12">
        <v>46356.0</v>
      </c>
      <c r="K40" s="10" t="s">
        <v>224</v>
      </c>
      <c r="L40" s="10" t="s">
        <v>26</v>
      </c>
      <c r="M40" s="10" t="s">
        <v>225</v>
      </c>
      <c r="N40" s="10" t="s">
        <v>226</v>
      </c>
      <c r="O40" s="13" t="str">
        <f t="shared" ref="O40:AC40" si="36">IF(AND($I40&lt;=O$4+6,$J40&gt;=O$4),IF(OR($C40="Milestone",$C40="Gate"),"◆","■"),"")</f>
        <v/>
      </c>
      <c r="P40" s="13" t="str">
        <f t="shared" si="36"/>
        <v/>
      </c>
      <c r="Q40" s="13" t="str">
        <f t="shared" si="36"/>
        <v/>
      </c>
      <c r="R40" s="13" t="str">
        <f t="shared" si="36"/>
        <v/>
      </c>
      <c r="S40" s="13" t="str">
        <f t="shared" si="36"/>
        <v/>
      </c>
      <c r="T40" s="13" t="str">
        <f t="shared" si="36"/>
        <v>■</v>
      </c>
      <c r="U40" s="13" t="str">
        <f t="shared" si="36"/>
        <v>■</v>
      </c>
      <c r="V40" s="13" t="str">
        <f t="shared" si="36"/>
        <v>■</v>
      </c>
      <c r="W40" s="13" t="str">
        <f t="shared" si="36"/>
        <v/>
      </c>
      <c r="X40" s="13" t="str">
        <f t="shared" si="36"/>
        <v/>
      </c>
      <c r="Y40" s="13" t="str">
        <f t="shared" si="36"/>
        <v/>
      </c>
      <c r="Z40" s="13" t="str">
        <f t="shared" si="36"/>
        <v/>
      </c>
      <c r="AA40" s="13" t="str">
        <f t="shared" si="36"/>
        <v/>
      </c>
      <c r="AB40" s="13" t="str">
        <f t="shared" si="36"/>
        <v/>
      </c>
      <c r="AC40" s="13" t="str">
        <f t="shared" si="36"/>
        <v/>
      </c>
    </row>
    <row r="41" ht="39.0" customHeight="1">
      <c r="A41" s="10" t="s">
        <v>227</v>
      </c>
      <c r="B41" s="10" t="s">
        <v>192</v>
      </c>
      <c r="C41" s="10" t="s">
        <v>20</v>
      </c>
      <c r="D41" s="10" t="s">
        <v>228</v>
      </c>
      <c r="E41" s="10" t="s">
        <v>229</v>
      </c>
      <c r="F41" s="10" t="s">
        <v>39</v>
      </c>
      <c r="G41" s="10" t="s">
        <v>152</v>
      </c>
      <c r="H41" s="11">
        <v>5.0</v>
      </c>
      <c r="I41" s="12">
        <v>46349.0</v>
      </c>
      <c r="J41" s="12">
        <v>46359.0</v>
      </c>
      <c r="K41" s="10" t="s">
        <v>230</v>
      </c>
      <c r="L41" s="10" t="s">
        <v>26</v>
      </c>
      <c r="M41" s="10" t="s">
        <v>231</v>
      </c>
      <c r="N41" s="10" t="s">
        <v>232</v>
      </c>
      <c r="O41" s="13" t="str">
        <f t="shared" ref="O41:AC41" si="37">IF(AND($I41&lt;=O$4+6,$J41&gt;=O$4),IF(OR($C41="Milestone",$C41="Gate"),"◆","■"),"")</f>
        <v/>
      </c>
      <c r="P41" s="13" t="str">
        <f t="shared" si="37"/>
        <v/>
      </c>
      <c r="Q41" s="13" t="str">
        <f t="shared" si="37"/>
        <v/>
      </c>
      <c r="R41" s="13" t="str">
        <f t="shared" si="37"/>
        <v/>
      </c>
      <c r="S41" s="13" t="str">
        <f t="shared" si="37"/>
        <v/>
      </c>
      <c r="T41" s="13" t="str">
        <f t="shared" si="37"/>
        <v/>
      </c>
      <c r="U41" s="13" t="str">
        <f t="shared" si="37"/>
        <v>■</v>
      </c>
      <c r="V41" s="13" t="str">
        <f t="shared" si="37"/>
        <v>■</v>
      </c>
      <c r="W41" s="13" t="str">
        <f t="shared" si="37"/>
        <v/>
      </c>
      <c r="X41" s="13" t="str">
        <f t="shared" si="37"/>
        <v/>
      </c>
      <c r="Y41" s="13" t="str">
        <f t="shared" si="37"/>
        <v/>
      </c>
      <c r="Z41" s="13" t="str">
        <f t="shared" si="37"/>
        <v/>
      </c>
      <c r="AA41" s="13" t="str">
        <f t="shared" si="37"/>
        <v/>
      </c>
      <c r="AB41" s="13" t="str">
        <f t="shared" si="37"/>
        <v/>
      </c>
      <c r="AC41" s="13" t="str">
        <f t="shared" si="37"/>
        <v/>
      </c>
    </row>
    <row r="42" ht="39.0" customHeight="1">
      <c r="A42" s="10" t="s">
        <v>233</v>
      </c>
      <c r="B42" s="10" t="s">
        <v>192</v>
      </c>
      <c r="C42" s="10" t="s">
        <v>20</v>
      </c>
      <c r="D42" s="10" t="s">
        <v>234</v>
      </c>
      <c r="E42" s="10" t="s">
        <v>235</v>
      </c>
      <c r="F42" s="10" t="s">
        <v>23</v>
      </c>
      <c r="G42" s="10" t="s">
        <v>64</v>
      </c>
      <c r="H42" s="11">
        <v>6.0</v>
      </c>
      <c r="I42" s="12">
        <v>46342.0</v>
      </c>
      <c r="J42" s="12">
        <v>46356.0</v>
      </c>
      <c r="K42" s="10" t="s">
        <v>210</v>
      </c>
      <c r="L42" s="10" t="s">
        <v>26</v>
      </c>
      <c r="M42" s="10" t="s">
        <v>236</v>
      </c>
      <c r="N42" s="10" t="s">
        <v>237</v>
      </c>
      <c r="O42" s="13" t="str">
        <f t="shared" ref="O42:AC42" si="38">IF(AND($I42&lt;=O$4+6,$J42&gt;=O$4),IF(OR($C42="Milestone",$C42="Gate"),"◆","■"),"")</f>
        <v/>
      </c>
      <c r="P42" s="13" t="str">
        <f t="shared" si="38"/>
        <v/>
      </c>
      <c r="Q42" s="13" t="str">
        <f t="shared" si="38"/>
        <v/>
      </c>
      <c r="R42" s="13" t="str">
        <f t="shared" si="38"/>
        <v/>
      </c>
      <c r="S42" s="13" t="str">
        <f t="shared" si="38"/>
        <v/>
      </c>
      <c r="T42" s="13" t="str">
        <f t="shared" si="38"/>
        <v>■</v>
      </c>
      <c r="U42" s="13" t="str">
        <f t="shared" si="38"/>
        <v>■</v>
      </c>
      <c r="V42" s="13" t="str">
        <f t="shared" si="38"/>
        <v>■</v>
      </c>
      <c r="W42" s="13" t="str">
        <f t="shared" si="38"/>
        <v/>
      </c>
      <c r="X42" s="13" t="str">
        <f t="shared" si="38"/>
        <v/>
      </c>
      <c r="Y42" s="13" t="str">
        <f t="shared" si="38"/>
        <v/>
      </c>
      <c r="Z42" s="13" t="str">
        <f t="shared" si="38"/>
        <v/>
      </c>
      <c r="AA42" s="13" t="str">
        <f t="shared" si="38"/>
        <v/>
      </c>
      <c r="AB42" s="13" t="str">
        <f t="shared" si="38"/>
        <v/>
      </c>
      <c r="AC42" s="13" t="str">
        <f t="shared" si="38"/>
        <v/>
      </c>
    </row>
    <row r="43" ht="39.0" customHeight="1">
      <c r="A43" s="10" t="s">
        <v>238</v>
      </c>
      <c r="B43" s="10" t="s">
        <v>192</v>
      </c>
      <c r="C43" s="10" t="s">
        <v>20</v>
      </c>
      <c r="D43" s="10" t="s">
        <v>239</v>
      </c>
      <c r="E43" s="10" t="s">
        <v>240</v>
      </c>
      <c r="F43" s="10" t="s">
        <v>46</v>
      </c>
      <c r="G43" s="10" t="s">
        <v>40</v>
      </c>
      <c r="H43" s="11">
        <v>6.0</v>
      </c>
      <c r="I43" s="12">
        <v>46335.0</v>
      </c>
      <c r="J43" s="12">
        <v>46350.0</v>
      </c>
      <c r="K43" s="10" t="s">
        <v>191</v>
      </c>
      <c r="L43" s="10" t="s">
        <v>26</v>
      </c>
      <c r="M43" s="10" t="s">
        <v>241</v>
      </c>
      <c r="N43" s="10" t="s">
        <v>242</v>
      </c>
      <c r="O43" s="13" t="str">
        <f t="shared" ref="O43:AC43" si="39">IF(AND($I43&lt;=O$4+6,$J43&gt;=O$4),IF(OR($C43="Milestone",$C43="Gate"),"◆","■"),"")</f>
        <v/>
      </c>
      <c r="P43" s="13" t="str">
        <f t="shared" si="39"/>
        <v/>
      </c>
      <c r="Q43" s="13" t="str">
        <f t="shared" si="39"/>
        <v/>
      </c>
      <c r="R43" s="13" t="str">
        <f t="shared" si="39"/>
        <v/>
      </c>
      <c r="S43" s="13" t="str">
        <f t="shared" si="39"/>
        <v>■</v>
      </c>
      <c r="T43" s="13" t="str">
        <f t="shared" si="39"/>
        <v>■</v>
      </c>
      <c r="U43" s="13" t="str">
        <f t="shared" si="39"/>
        <v>■</v>
      </c>
      <c r="V43" s="13" t="str">
        <f t="shared" si="39"/>
        <v/>
      </c>
      <c r="W43" s="13" t="str">
        <f t="shared" si="39"/>
        <v/>
      </c>
      <c r="X43" s="13" t="str">
        <f t="shared" si="39"/>
        <v/>
      </c>
      <c r="Y43" s="13" t="str">
        <f t="shared" si="39"/>
        <v/>
      </c>
      <c r="Z43" s="13" t="str">
        <f t="shared" si="39"/>
        <v/>
      </c>
      <c r="AA43" s="13" t="str">
        <f t="shared" si="39"/>
        <v/>
      </c>
      <c r="AB43" s="13" t="str">
        <f t="shared" si="39"/>
        <v/>
      </c>
      <c r="AC43" s="13" t="str">
        <f t="shared" si="39"/>
        <v/>
      </c>
    </row>
    <row r="44" ht="39.0" customHeight="1">
      <c r="A44" s="10" t="s">
        <v>243</v>
      </c>
      <c r="B44" s="10" t="s">
        <v>192</v>
      </c>
      <c r="C44" s="10" t="s">
        <v>20</v>
      </c>
      <c r="D44" s="10" t="s">
        <v>239</v>
      </c>
      <c r="E44" s="10" t="s">
        <v>244</v>
      </c>
      <c r="F44" s="10" t="s">
        <v>46</v>
      </c>
      <c r="G44" s="10" t="s">
        <v>64</v>
      </c>
      <c r="H44" s="11">
        <v>6.0</v>
      </c>
      <c r="I44" s="12">
        <v>46349.0</v>
      </c>
      <c r="J44" s="12">
        <v>46360.0</v>
      </c>
      <c r="K44" s="10" t="s">
        <v>245</v>
      </c>
      <c r="L44" s="10" t="s">
        <v>26</v>
      </c>
      <c r="M44" s="10" t="s">
        <v>246</v>
      </c>
      <c r="N44" s="10" t="s">
        <v>247</v>
      </c>
      <c r="O44" s="13" t="str">
        <f t="shared" ref="O44:AC44" si="40">IF(AND($I44&lt;=O$4+6,$J44&gt;=O$4),IF(OR($C44="Milestone",$C44="Gate"),"◆","■"),"")</f>
        <v/>
      </c>
      <c r="P44" s="13" t="str">
        <f t="shared" si="40"/>
        <v/>
      </c>
      <c r="Q44" s="13" t="str">
        <f t="shared" si="40"/>
        <v/>
      </c>
      <c r="R44" s="13" t="str">
        <f t="shared" si="40"/>
        <v/>
      </c>
      <c r="S44" s="13" t="str">
        <f t="shared" si="40"/>
        <v/>
      </c>
      <c r="T44" s="13" t="str">
        <f t="shared" si="40"/>
        <v/>
      </c>
      <c r="U44" s="13" t="str">
        <f t="shared" si="40"/>
        <v>■</v>
      </c>
      <c r="V44" s="13" t="str">
        <f t="shared" si="40"/>
        <v>■</v>
      </c>
      <c r="W44" s="13" t="str">
        <f t="shared" si="40"/>
        <v/>
      </c>
      <c r="X44" s="13" t="str">
        <f t="shared" si="40"/>
        <v/>
      </c>
      <c r="Y44" s="13" t="str">
        <f t="shared" si="40"/>
        <v/>
      </c>
      <c r="Z44" s="13" t="str">
        <f t="shared" si="40"/>
        <v/>
      </c>
      <c r="AA44" s="13" t="str">
        <f t="shared" si="40"/>
        <v/>
      </c>
      <c r="AB44" s="13" t="str">
        <f t="shared" si="40"/>
        <v/>
      </c>
      <c r="AC44" s="13" t="str">
        <f t="shared" si="40"/>
        <v/>
      </c>
    </row>
    <row r="45" ht="39.0" customHeight="1">
      <c r="A45" s="10" t="s">
        <v>248</v>
      </c>
      <c r="B45" s="10" t="s">
        <v>192</v>
      </c>
      <c r="C45" s="10" t="s">
        <v>20</v>
      </c>
      <c r="D45" s="10" t="s">
        <v>249</v>
      </c>
      <c r="E45" s="10" t="s">
        <v>250</v>
      </c>
      <c r="F45" s="10" t="s">
        <v>39</v>
      </c>
      <c r="G45" s="10" t="s">
        <v>251</v>
      </c>
      <c r="H45" s="11">
        <v>5.0</v>
      </c>
      <c r="I45" s="12">
        <v>46354.0</v>
      </c>
      <c r="J45" s="12">
        <v>46361.0</v>
      </c>
      <c r="K45" s="10" t="s">
        <v>252</v>
      </c>
      <c r="L45" s="10" t="s">
        <v>26</v>
      </c>
      <c r="M45" s="10" t="s">
        <v>253</v>
      </c>
      <c r="N45" s="10" t="s">
        <v>254</v>
      </c>
      <c r="O45" s="13" t="str">
        <f t="shared" ref="O45:AC45" si="41">IF(AND($I45&lt;=O$4+6,$J45&gt;=O$4),IF(OR($C45="Milestone",$C45="Gate"),"◆","■"),"")</f>
        <v/>
      </c>
      <c r="P45" s="13" t="str">
        <f t="shared" si="41"/>
        <v/>
      </c>
      <c r="Q45" s="13" t="str">
        <f t="shared" si="41"/>
        <v/>
      </c>
      <c r="R45" s="13" t="str">
        <f t="shared" si="41"/>
        <v/>
      </c>
      <c r="S45" s="13" t="str">
        <f t="shared" si="41"/>
        <v/>
      </c>
      <c r="T45" s="13" t="str">
        <f t="shared" si="41"/>
        <v/>
      </c>
      <c r="U45" s="13" t="str">
        <f t="shared" si="41"/>
        <v>■</v>
      </c>
      <c r="V45" s="13" t="str">
        <f t="shared" si="41"/>
        <v>■</v>
      </c>
      <c r="W45" s="13" t="str">
        <f t="shared" si="41"/>
        <v/>
      </c>
      <c r="X45" s="13" t="str">
        <f t="shared" si="41"/>
        <v/>
      </c>
      <c r="Y45" s="13" t="str">
        <f t="shared" si="41"/>
        <v/>
      </c>
      <c r="Z45" s="13" t="str">
        <f t="shared" si="41"/>
        <v/>
      </c>
      <c r="AA45" s="13" t="str">
        <f t="shared" si="41"/>
        <v/>
      </c>
      <c r="AB45" s="13" t="str">
        <f t="shared" si="41"/>
        <v/>
      </c>
      <c r="AC45" s="13" t="str">
        <f t="shared" si="41"/>
        <v/>
      </c>
    </row>
    <row r="46" ht="39.0" customHeight="1">
      <c r="A46" s="10" t="s">
        <v>255</v>
      </c>
      <c r="B46" s="10" t="s">
        <v>192</v>
      </c>
      <c r="C46" s="10" t="s">
        <v>20</v>
      </c>
      <c r="D46" s="10" t="s">
        <v>174</v>
      </c>
      <c r="E46" s="10" t="s">
        <v>256</v>
      </c>
      <c r="F46" s="10" t="s">
        <v>23</v>
      </c>
      <c r="G46" s="10" t="s">
        <v>24</v>
      </c>
      <c r="H46" s="11">
        <v>5.0</v>
      </c>
      <c r="I46" s="12">
        <v>46356.0</v>
      </c>
      <c r="J46" s="12">
        <v>46362.0</v>
      </c>
      <c r="K46" s="10" t="s">
        <v>257</v>
      </c>
      <c r="L46" s="10" t="s">
        <v>26</v>
      </c>
      <c r="M46" s="10" t="s">
        <v>258</v>
      </c>
      <c r="N46" s="10" t="s">
        <v>259</v>
      </c>
      <c r="O46" s="13" t="str">
        <f t="shared" ref="O46:AC46" si="42">IF(AND($I46&lt;=O$4+6,$J46&gt;=O$4),IF(OR($C46="Milestone",$C46="Gate"),"◆","■"),"")</f>
        <v/>
      </c>
      <c r="P46" s="13" t="str">
        <f t="shared" si="42"/>
        <v/>
      </c>
      <c r="Q46" s="13" t="str">
        <f t="shared" si="42"/>
        <v/>
      </c>
      <c r="R46" s="13" t="str">
        <f t="shared" si="42"/>
        <v/>
      </c>
      <c r="S46" s="13" t="str">
        <f t="shared" si="42"/>
        <v/>
      </c>
      <c r="T46" s="13" t="str">
        <f t="shared" si="42"/>
        <v/>
      </c>
      <c r="U46" s="13" t="str">
        <f t="shared" si="42"/>
        <v/>
      </c>
      <c r="V46" s="13" t="str">
        <f t="shared" si="42"/>
        <v>■</v>
      </c>
      <c r="W46" s="13" t="str">
        <f t="shared" si="42"/>
        <v/>
      </c>
      <c r="X46" s="13" t="str">
        <f t="shared" si="42"/>
        <v/>
      </c>
      <c r="Y46" s="13" t="str">
        <f t="shared" si="42"/>
        <v/>
      </c>
      <c r="Z46" s="13" t="str">
        <f t="shared" si="42"/>
        <v/>
      </c>
      <c r="AA46" s="13" t="str">
        <f t="shared" si="42"/>
        <v/>
      </c>
      <c r="AB46" s="13" t="str">
        <f t="shared" si="42"/>
        <v/>
      </c>
      <c r="AC46" s="13" t="str">
        <f t="shared" si="42"/>
        <v/>
      </c>
    </row>
    <row r="47" ht="39.0" customHeight="1">
      <c r="A47" s="10" t="s">
        <v>260</v>
      </c>
      <c r="B47" s="10" t="s">
        <v>192</v>
      </c>
      <c r="C47" s="10" t="s">
        <v>186</v>
      </c>
      <c r="D47" s="10" t="s">
        <v>187</v>
      </c>
      <c r="E47" s="10" t="s">
        <v>261</v>
      </c>
      <c r="F47" s="10" t="s">
        <v>23</v>
      </c>
      <c r="G47" s="10" t="s">
        <v>24</v>
      </c>
      <c r="H47" s="11">
        <v>1.0</v>
      </c>
      <c r="I47" s="12">
        <v>46363.0</v>
      </c>
      <c r="J47" s="12">
        <v>46363.0</v>
      </c>
      <c r="K47" s="10" t="s">
        <v>255</v>
      </c>
      <c r="L47" s="10" t="s">
        <v>26</v>
      </c>
      <c r="M47" s="10" t="s">
        <v>262</v>
      </c>
      <c r="N47" s="10" t="s">
        <v>190</v>
      </c>
      <c r="O47" s="13" t="str">
        <f t="shared" ref="O47:AC47" si="43">IF(AND($I47&lt;=O$4+6,$J47&gt;=O$4),IF(OR($C47="Milestone",$C47="Gate"),"◆","■"),"")</f>
        <v/>
      </c>
      <c r="P47" s="13" t="str">
        <f t="shared" si="43"/>
        <v/>
      </c>
      <c r="Q47" s="13" t="str">
        <f t="shared" si="43"/>
        <v/>
      </c>
      <c r="R47" s="13" t="str">
        <f t="shared" si="43"/>
        <v/>
      </c>
      <c r="S47" s="13" t="str">
        <f t="shared" si="43"/>
        <v/>
      </c>
      <c r="T47" s="13" t="str">
        <f t="shared" si="43"/>
        <v/>
      </c>
      <c r="U47" s="13" t="str">
        <f t="shared" si="43"/>
        <v/>
      </c>
      <c r="V47" s="13" t="str">
        <f t="shared" si="43"/>
        <v/>
      </c>
      <c r="W47" s="13" t="str">
        <f t="shared" si="43"/>
        <v>◆</v>
      </c>
      <c r="X47" s="13" t="str">
        <f t="shared" si="43"/>
        <v/>
      </c>
      <c r="Y47" s="13" t="str">
        <f t="shared" si="43"/>
        <v/>
      </c>
      <c r="Z47" s="13" t="str">
        <f t="shared" si="43"/>
        <v/>
      </c>
      <c r="AA47" s="13" t="str">
        <f t="shared" si="43"/>
        <v/>
      </c>
      <c r="AB47" s="13" t="str">
        <f t="shared" si="43"/>
        <v/>
      </c>
      <c r="AC47" s="13" t="str">
        <f t="shared" si="43"/>
        <v/>
      </c>
    </row>
    <row r="48" ht="39.0" customHeight="1">
      <c r="A48" s="10" t="s">
        <v>263</v>
      </c>
      <c r="B48" s="10" t="s">
        <v>264</v>
      </c>
      <c r="C48" s="10" t="s">
        <v>20</v>
      </c>
      <c r="D48" s="10" t="s">
        <v>50</v>
      </c>
      <c r="E48" s="10" t="s">
        <v>265</v>
      </c>
      <c r="F48" s="10" t="s">
        <v>23</v>
      </c>
      <c r="G48" s="10" t="s">
        <v>24</v>
      </c>
      <c r="H48" s="11">
        <v>6.0</v>
      </c>
      <c r="I48" s="12">
        <v>46364.0</v>
      </c>
      <c r="J48" s="12">
        <v>46376.0</v>
      </c>
      <c r="K48" s="10" t="s">
        <v>260</v>
      </c>
      <c r="L48" s="10" t="s">
        <v>26</v>
      </c>
      <c r="M48" s="10" t="s">
        <v>266</v>
      </c>
      <c r="N48" s="10" t="s">
        <v>267</v>
      </c>
      <c r="O48" s="13" t="str">
        <f t="shared" ref="O48:AC48" si="44">IF(AND($I48&lt;=O$4+6,$J48&gt;=O$4),IF(OR($C48="Milestone",$C48="Gate"),"◆","■"),"")</f>
        <v/>
      </c>
      <c r="P48" s="13" t="str">
        <f t="shared" si="44"/>
        <v/>
      </c>
      <c r="Q48" s="13" t="str">
        <f t="shared" si="44"/>
        <v/>
      </c>
      <c r="R48" s="13" t="str">
        <f t="shared" si="44"/>
        <v/>
      </c>
      <c r="S48" s="13" t="str">
        <f t="shared" si="44"/>
        <v/>
      </c>
      <c r="T48" s="13" t="str">
        <f t="shared" si="44"/>
        <v/>
      </c>
      <c r="U48" s="13" t="str">
        <f t="shared" si="44"/>
        <v/>
      </c>
      <c r="V48" s="13" t="str">
        <f t="shared" si="44"/>
        <v/>
      </c>
      <c r="W48" s="13" t="str">
        <f t="shared" si="44"/>
        <v>■</v>
      </c>
      <c r="X48" s="13" t="str">
        <f t="shared" si="44"/>
        <v>■</v>
      </c>
      <c r="Y48" s="13" t="str">
        <f t="shared" si="44"/>
        <v/>
      </c>
      <c r="Z48" s="13" t="str">
        <f t="shared" si="44"/>
        <v/>
      </c>
      <c r="AA48" s="13" t="str">
        <f t="shared" si="44"/>
        <v/>
      </c>
      <c r="AB48" s="13" t="str">
        <f t="shared" si="44"/>
        <v/>
      </c>
      <c r="AC48" s="13" t="str">
        <f t="shared" si="44"/>
        <v/>
      </c>
    </row>
    <row r="49" ht="39.0" customHeight="1">
      <c r="A49" s="10" t="s">
        <v>268</v>
      </c>
      <c r="B49" s="10" t="s">
        <v>264</v>
      </c>
      <c r="C49" s="10" t="s">
        <v>20</v>
      </c>
      <c r="D49" s="10" t="s">
        <v>269</v>
      </c>
      <c r="E49" s="10" t="s">
        <v>270</v>
      </c>
      <c r="F49" s="10" t="s">
        <v>39</v>
      </c>
      <c r="G49" s="10" t="s">
        <v>40</v>
      </c>
      <c r="H49" s="11">
        <v>5.0</v>
      </c>
      <c r="I49" s="12">
        <v>46364.0</v>
      </c>
      <c r="J49" s="12">
        <v>46374.0</v>
      </c>
      <c r="K49" s="10" t="s">
        <v>260</v>
      </c>
      <c r="L49" s="10" t="s">
        <v>26</v>
      </c>
      <c r="M49" s="10" t="s">
        <v>271</v>
      </c>
      <c r="N49" s="10" t="s">
        <v>272</v>
      </c>
      <c r="O49" s="13" t="str">
        <f t="shared" ref="O49:AC49" si="45">IF(AND($I49&lt;=O$4+6,$J49&gt;=O$4),IF(OR($C49="Milestone",$C49="Gate"),"◆","■"),"")</f>
        <v/>
      </c>
      <c r="P49" s="13" t="str">
        <f t="shared" si="45"/>
        <v/>
      </c>
      <c r="Q49" s="13" t="str">
        <f t="shared" si="45"/>
        <v/>
      </c>
      <c r="R49" s="13" t="str">
        <f t="shared" si="45"/>
        <v/>
      </c>
      <c r="S49" s="13" t="str">
        <f t="shared" si="45"/>
        <v/>
      </c>
      <c r="T49" s="13" t="str">
        <f t="shared" si="45"/>
        <v/>
      </c>
      <c r="U49" s="13" t="str">
        <f t="shared" si="45"/>
        <v/>
      </c>
      <c r="V49" s="13" t="str">
        <f t="shared" si="45"/>
        <v/>
      </c>
      <c r="W49" s="13" t="str">
        <f t="shared" si="45"/>
        <v>■</v>
      </c>
      <c r="X49" s="13" t="str">
        <f t="shared" si="45"/>
        <v>■</v>
      </c>
      <c r="Y49" s="13" t="str">
        <f t="shared" si="45"/>
        <v/>
      </c>
      <c r="Z49" s="13" t="str">
        <f t="shared" si="45"/>
        <v/>
      </c>
      <c r="AA49" s="13" t="str">
        <f t="shared" si="45"/>
        <v/>
      </c>
      <c r="AB49" s="13" t="str">
        <f t="shared" si="45"/>
        <v/>
      </c>
      <c r="AC49" s="13" t="str">
        <f t="shared" si="45"/>
        <v/>
      </c>
    </row>
    <row r="50" ht="39.0" customHeight="1">
      <c r="A50" s="10" t="s">
        <v>273</v>
      </c>
      <c r="B50" s="10" t="s">
        <v>264</v>
      </c>
      <c r="C50" s="10" t="s">
        <v>20</v>
      </c>
      <c r="D50" s="10" t="s">
        <v>274</v>
      </c>
      <c r="E50" s="10" t="s">
        <v>275</v>
      </c>
      <c r="F50" s="10" t="s">
        <v>39</v>
      </c>
      <c r="G50" s="10" t="s">
        <v>152</v>
      </c>
      <c r="H50" s="11">
        <v>6.0</v>
      </c>
      <c r="I50" s="12">
        <v>46364.0</v>
      </c>
      <c r="J50" s="12">
        <v>46380.0</v>
      </c>
      <c r="K50" s="10" t="s">
        <v>260</v>
      </c>
      <c r="L50" s="10" t="s">
        <v>26</v>
      </c>
      <c r="M50" s="10" t="s">
        <v>276</v>
      </c>
      <c r="N50" s="10" t="s">
        <v>277</v>
      </c>
      <c r="O50" s="13" t="str">
        <f t="shared" ref="O50:AC50" si="46">IF(AND($I50&lt;=O$4+6,$J50&gt;=O$4),IF(OR($C50="Milestone",$C50="Gate"),"◆","■"),"")</f>
        <v/>
      </c>
      <c r="P50" s="13" t="str">
        <f t="shared" si="46"/>
        <v/>
      </c>
      <c r="Q50" s="13" t="str">
        <f t="shared" si="46"/>
        <v/>
      </c>
      <c r="R50" s="13" t="str">
        <f t="shared" si="46"/>
        <v/>
      </c>
      <c r="S50" s="13" t="str">
        <f t="shared" si="46"/>
        <v/>
      </c>
      <c r="T50" s="13" t="str">
        <f t="shared" si="46"/>
        <v/>
      </c>
      <c r="U50" s="13" t="str">
        <f t="shared" si="46"/>
        <v/>
      </c>
      <c r="V50" s="13" t="str">
        <f t="shared" si="46"/>
        <v/>
      </c>
      <c r="W50" s="13" t="str">
        <f t="shared" si="46"/>
        <v>■</v>
      </c>
      <c r="X50" s="13" t="str">
        <f t="shared" si="46"/>
        <v>■</v>
      </c>
      <c r="Y50" s="13" t="str">
        <f t="shared" si="46"/>
        <v>■</v>
      </c>
      <c r="Z50" s="13" t="str">
        <f t="shared" si="46"/>
        <v/>
      </c>
      <c r="AA50" s="13" t="str">
        <f t="shared" si="46"/>
        <v/>
      </c>
      <c r="AB50" s="13" t="str">
        <f t="shared" si="46"/>
        <v/>
      </c>
      <c r="AC50" s="13" t="str">
        <f t="shared" si="46"/>
        <v/>
      </c>
    </row>
    <row r="51" ht="39.0" customHeight="1">
      <c r="A51" s="10" t="s">
        <v>278</v>
      </c>
      <c r="B51" s="10" t="s">
        <v>264</v>
      </c>
      <c r="C51" s="10" t="s">
        <v>20</v>
      </c>
      <c r="D51" s="10" t="s">
        <v>279</v>
      </c>
      <c r="E51" s="10" t="s">
        <v>280</v>
      </c>
      <c r="F51" s="10" t="s">
        <v>32</v>
      </c>
      <c r="G51" s="10" t="s">
        <v>52</v>
      </c>
      <c r="H51" s="11">
        <v>6.0</v>
      </c>
      <c r="I51" s="12">
        <v>46364.0</v>
      </c>
      <c r="J51" s="12">
        <v>46378.0</v>
      </c>
      <c r="K51" s="10" t="s">
        <v>260</v>
      </c>
      <c r="L51" s="10" t="s">
        <v>26</v>
      </c>
      <c r="M51" s="10" t="s">
        <v>281</v>
      </c>
      <c r="N51" s="10" t="s">
        <v>282</v>
      </c>
      <c r="O51" s="13" t="str">
        <f t="shared" ref="O51:AC51" si="47">IF(AND($I51&lt;=O$4+6,$J51&gt;=O$4),IF(OR($C51="Milestone",$C51="Gate"),"◆","■"),"")</f>
        <v/>
      </c>
      <c r="P51" s="13" t="str">
        <f t="shared" si="47"/>
        <v/>
      </c>
      <c r="Q51" s="13" t="str">
        <f t="shared" si="47"/>
        <v/>
      </c>
      <c r="R51" s="13" t="str">
        <f t="shared" si="47"/>
        <v/>
      </c>
      <c r="S51" s="13" t="str">
        <f t="shared" si="47"/>
        <v/>
      </c>
      <c r="T51" s="13" t="str">
        <f t="shared" si="47"/>
        <v/>
      </c>
      <c r="U51" s="13" t="str">
        <f t="shared" si="47"/>
        <v/>
      </c>
      <c r="V51" s="13" t="str">
        <f t="shared" si="47"/>
        <v/>
      </c>
      <c r="W51" s="13" t="str">
        <f t="shared" si="47"/>
        <v>■</v>
      </c>
      <c r="X51" s="13" t="str">
        <f t="shared" si="47"/>
        <v>■</v>
      </c>
      <c r="Y51" s="13" t="str">
        <f t="shared" si="47"/>
        <v>■</v>
      </c>
      <c r="Z51" s="13" t="str">
        <f t="shared" si="47"/>
        <v/>
      </c>
      <c r="AA51" s="13" t="str">
        <f t="shared" si="47"/>
        <v/>
      </c>
      <c r="AB51" s="13" t="str">
        <f t="shared" si="47"/>
        <v/>
      </c>
      <c r="AC51" s="13" t="str">
        <f t="shared" si="47"/>
        <v/>
      </c>
    </row>
    <row r="52" ht="39.0" customHeight="1">
      <c r="A52" s="10" t="s">
        <v>283</v>
      </c>
      <c r="B52" s="10" t="s">
        <v>264</v>
      </c>
      <c r="C52" s="10" t="s">
        <v>20</v>
      </c>
      <c r="D52" s="10" t="s">
        <v>62</v>
      </c>
      <c r="E52" s="10" t="s">
        <v>284</v>
      </c>
      <c r="F52" s="10" t="s">
        <v>32</v>
      </c>
      <c r="G52" s="10" t="s">
        <v>52</v>
      </c>
      <c r="H52" s="11">
        <v>6.0</v>
      </c>
      <c r="I52" s="12">
        <v>46371.0</v>
      </c>
      <c r="J52" s="12">
        <v>46383.0</v>
      </c>
      <c r="K52" s="10" t="s">
        <v>285</v>
      </c>
      <c r="L52" s="10" t="s">
        <v>26</v>
      </c>
      <c r="M52" s="10" t="s">
        <v>286</v>
      </c>
      <c r="N52" s="10" t="s">
        <v>287</v>
      </c>
      <c r="O52" s="13" t="str">
        <f t="shared" ref="O52:AC52" si="48">IF(AND($I52&lt;=O$4+6,$J52&gt;=O$4),IF(OR($C52="Milestone",$C52="Gate"),"◆","■"),"")</f>
        <v/>
      </c>
      <c r="P52" s="13" t="str">
        <f t="shared" si="48"/>
        <v/>
      </c>
      <c r="Q52" s="13" t="str">
        <f t="shared" si="48"/>
        <v/>
      </c>
      <c r="R52" s="13" t="str">
        <f t="shared" si="48"/>
        <v/>
      </c>
      <c r="S52" s="13" t="str">
        <f t="shared" si="48"/>
        <v/>
      </c>
      <c r="T52" s="13" t="str">
        <f t="shared" si="48"/>
        <v/>
      </c>
      <c r="U52" s="13" t="str">
        <f t="shared" si="48"/>
        <v/>
      </c>
      <c r="V52" s="13" t="str">
        <f t="shared" si="48"/>
        <v/>
      </c>
      <c r="W52" s="13" t="str">
        <f t="shared" si="48"/>
        <v/>
      </c>
      <c r="X52" s="13" t="str">
        <f t="shared" si="48"/>
        <v>■</v>
      </c>
      <c r="Y52" s="13" t="str">
        <f t="shared" si="48"/>
        <v>■</v>
      </c>
      <c r="Z52" s="13" t="str">
        <f t="shared" si="48"/>
        <v/>
      </c>
      <c r="AA52" s="13" t="str">
        <f t="shared" si="48"/>
        <v/>
      </c>
      <c r="AB52" s="13" t="str">
        <f t="shared" si="48"/>
        <v/>
      </c>
      <c r="AC52" s="13" t="str">
        <f t="shared" si="48"/>
        <v/>
      </c>
    </row>
    <row r="53" ht="39.0" customHeight="1">
      <c r="A53" s="10" t="s">
        <v>288</v>
      </c>
      <c r="B53" s="10" t="s">
        <v>264</v>
      </c>
      <c r="C53" s="10" t="s">
        <v>20</v>
      </c>
      <c r="D53" s="10" t="s">
        <v>289</v>
      </c>
      <c r="E53" s="10" t="s">
        <v>290</v>
      </c>
      <c r="F53" s="10" t="s">
        <v>23</v>
      </c>
      <c r="G53" s="10" t="s">
        <v>58</v>
      </c>
      <c r="H53" s="11">
        <v>5.0</v>
      </c>
      <c r="I53" s="12">
        <v>46371.0</v>
      </c>
      <c r="J53" s="12">
        <v>46383.0</v>
      </c>
      <c r="K53" s="10" t="s">
        <v>291</v>
      </c>
      <c r="L53" s="10" t="s">
        <v>26</v>
      </c>
      <c r="M53" s="10" t="s">
        <v>292</v>
      </c>
      <c r="N53" s="10" t="s">
        <v>293</v>
      </c>
      <c r="O53" s="13" t="str">
        <f t="shared" ref="O53:AC53" si="49">IF(AND($I53&lt;=O$4+6,$J53&gt;=O$4),IF(OR($C53="Milestone",$C53="Gate"),"◆","■"),"")</f>
        <v/>
      </c>
      <c r="P53" s="13" t="str">
        <f t="shared" si="49"/>
        <v/>
      </c>
      <c r="Q53" s="13" t="str">
        <f t="shared" si="49"/>
        <v/>
      </c>
      <c r="R53" s="13" t="str">
        <f t="shared" si="49"/>
        <v/>
      </c>
      <c r="S53" s="13" t="str">
        <f t="shared" si="49"/>
        <v/>
      </c>
      <c r="T53" s="13" t="str">
        <f t="shared" si="49"/>
        <v/>
      </c>
      <c r="U53" s="13" t="str">
        <f t="shared" si="49"/>
        <v/>
      </c>
      <c r="V53" s="13" t="str">
        <f t="shared" si="49"/>
        <v/>
      </c>
      <c r="W53" s="13" t="str">
        <f t="shared" si="49"/>
        <v/>
      </c>
      <c r="X53" s="13" t="str">
        <f t="shared" si="49"/>
        <v>■</v>
      </c>
      <c r="Y53" s="13" t="str">
        <f t="shared" si="49"/>
        <v>■</v>
      </c>
      <c r="Z53" s="13" t="str">
        <f t="shared" si="49"/>
        <v/>
      </c>
      <c r="AA53" s="13" t="str">
        <f t="shared" si="49"/>
        <v/>
      </c>
      <c r="AB53" s="13" t="str">
        <f t="shared" si="49"/>
        <v/>
      </c>
      <c r="AC53" s="13" t="str">
        <f t="shared" si="49"/>
        <v/>
      </c>
    </row>
    <row r="54" ht="39.0" customHeight="1">
      <c r="A54" s="10" t="s">
        <v>294</v>
      </c>
      <c r="B54" s="10" t="s">
        <v>264</v>
      </c>
      <c r="C54" s="10" t="s">
        <v>20</v>
      </c>
      <c r="D54" s="10" t="s">
        <v>295</v>
      </c>
      <c r="E54" s="10" t="s">
        <v>296</v>
      </c>
      <c r="F54" s="10" t="s">
        <v>46</v>
      </c>
      <c r="G54" s="10" t="s">
        <v>122</v>
      </c>
      <c r="H54" s="11">
        <v>5.0</v>
      </c>
      <c r="I54" s="12">
        <v>46364.0</v>
      </c>
      <c r="J54" s="12">
        <v>46383.0</v>
      </c>
      <c r="K54" s="10" t="s">
        <v>260</v>
      </c>
      <c r="L54" s="10" t="s">
        <v>26</v>
      </c>
      <c r="M54" s="10" t="s">
        <v>297</v>
      </c>
      <c r="N54" s="10" t="s">
        <v>298</v>
      </c>
      <c r="O54" s="13" t="str">
        <f t="shared" ref="O54:AC54" si="50">IF(AND($I54&lt;=O$4+6,$J54&gt;=O$4),IF(OR($C54="Milestone",$C54="Gate"),"◆","■"),"")</f>
        <v/>
      </c>
      <c r="P54" s="13" t="str">
        <f t="shared" si="50"/>
        <v/>
      </c>
      <c r="Q54" s="13" t="str">
        <f t="shared" si="50"/>
        <v/>
      </c>
      <c r="R54" s="13" t="str">
        <f t="shared" si="50"/>
        <v/>
      </c>
      <c r="S54" s="13" t="str">
        <f t="shared" si="50"/>
        <v/>
      </c>
      <c r="T54" s="13" t="str">
        <f t="shared" si="50"/>
        <v/>
      </c>
      <c r="U54" s="13" t="str">
        <f t="shared" si="50"/>
        <v/>
      </c>
      <c r="V54" s="13" t="str">
        <f t="shared" si="50"/>
        <v/>
      </c>
      <c r="W54" s="13" t="str">
        <f t="shared" si="50"/>
        <v>■</v>
      </c>
      <c r="X54" s="13" t="str">
        <f t="shared" si="50"/>
        <v>■</v>
      </c>
      <c r="Y54" s="13" t="str">
        <f t="shared" si="50"/>
        <v>■</v>
      </c>
      <c r="Z54" s="13" t="str">
        <f t="shared" si="50"/>
        <v/>
      </c>
      <c r="AA54" s="13" t="str">
        <f t="shared" si="50"/>
        <v/>
      </c>
      <c r="AB54" s="13" t="str">
        <f t="shared" si="50"/>
        <v/>
      </c>
      <c r="AC54" s="13" t="str">
        <f t="shared" si="50"/>
        <v/>
      </c>
    </row>
    <row r="55" ht="39.0" customHeight="1">
      <c r="A55" s="10" t="s">
        <v>299</v>
      </c>
      <c r="B55" s="10" t="s">
        <v>264</v>
      </c>
      <c r="C55" s="10" t="s">
        <v>20</v>
      </c>
      <c r="D55" s="10" t="s">
        <v>300</v>
      </c>
      <c r="E55" s="10" t="s">
        <v>301</v>
      </c>
      <c r="F55" s="10" t="s">
        <v>46</v>
      </c>
      <c r="G55" s="10" t="s">
        <v>40</v>
      </c>
      <c r="H55" s="11">
        <v>5.0</v>
      </c>
      <c r="I55" s="12">
        <v>46371.0</v>
      </c>
      <c r="J55" s="12">
        <v>46385.0</v>
      </c>
      <c r="K55" s="10" t="s">
        <v>302</v>
      </c>
      <c r="L55" s="10" t="s">
        <v>26</v>
      </c>
      <c r="M55" s="10" t="s">
        <v>303</v>
      </c>
      <c r="N55" s="10" t="s">
        <v>304</v>
      </c>
      <c r="O55" s="13" t="str">
        <f t="shared" ref="O55:AC55" si="51">IF(AND($I55&lt;=O$4+6,$J55&gt;=O$4),IF(OR($C55="Milestone",$C55="Gate"),"◆","■"),"")</f>
        <v/>
      </c>
      <c r="P55" s="13" t="str">
        <f t="shared" si="51"/>
        <v/>
      </c>
      <c r="Q55" s="13" t="str">
        <f t="shared" si="51"/>
        <v/>
      </c>
      <c r="R55" s="13" t="str">
        <f t="shared" si="51"/>
        <v/>
      </c>
      <c r="S55" s="13" t="str">
        <f t="shared" si="51"/>
        <v/>
      </c>
      <c r="T55" s="13" t="str">
        <f t="shared" si="51"/>
        <v/>
      </c>
      <c r="U55" s="13" t="str">
        <f t="shared" si="51"/>
        <v/>
      </c>
      <c r="V55" s="13" t="str">
        <f t="shared" si="51"/>
        <v/>
      </c>
      <c r="W55" s="13" t="str">
        <f t="shared" si="51"/>
        <v/>
      </c>
      <c r="X55" s="13" t="str">
        <f t="shared" si="51"/>
        <v>■</v>
      </c>
      <c r="Y55" s="13" t="str">
        <f t="shared" si="51"/>
        <v>■</v>
      </c>
      <c r="Z55" s="13" t="str">
        <f t="shared" si="51"/>
        <v>■</v>
      </c>
      <c r="AA55" s="13" t="str">
        <f t="shared" si="51"/>
        <v/>
      </c>
      <c r="AB55" s="13" t="str">
        <f t="shared" si="51"/>
        <v/>
      </c>
      <c r="AC55" s="13" t="str">
        <f t="shared" si="51"/>
        <v/>
      </c>
    </row>
    <row r="56" ht="39.0" customHeight="1">
      <c r="A56" s="10" t="s">
        <v>305</v>
      </c>
      <c r="B56" s="10" t="s">
        <v>264</v>
      </c>
      <c r="C56" s="10" t="s">
        <v>20</v>
      </c>
      <c r="D56" s="10" t="s">
        <v>306</v>
      </c>
      <c r="E56" s="10" t="s">
        <v>307</v>
      </c>
      <c r="F56" s="10" t="s">
        <v>39</v>
      </c>
      <c r="G56" s="10" t="s">
        <v>52</v>
      </c>
      <c r="H56" s="11">
        <v>5.0</v>
      </c>
      <c r="I56" s="12">
        <v>46377.0</v>
      </c>
      <c r="J56" s="12">
        <v>46389.0</v>
      </c>
      <c r="K56" s="10" t="s">
        <v>308</v>
      </c>
      <c r="L56" s="10" t="s">
        <v>26</v>
      </c>
      <c r="M56" s="10" t="s">
        <v>309</v>
      </c>
      <c r="N56" s="10" t="s">
        <v>310</v>
      </c>
      <c r="O56" s="13" t="str">
        <f t="shared" ref="O56:AC56" si="52">IF(AND($I56&lt;=O$4+6,$J56&gt;=O$4),IF(OR($C56="Milestone",$C56="Gate"),"◆","■"),"")</f>
        <v/>
      </c>
      <c r="P56" s="13" t="str">
        <f t="shared" si="52"/>
        <v/>
      </c>
      <c r="Q56" s="13" t="str">
        <f t="shared" si="52"/>
        <v/>
      </c>
      <c r="R56" s="13" t="str">
        <f t="shared" si="52"/>
        <v/>
      </c>
      <c r="S56" s="13" t="str">
        <f t="shared" si="52"/>
        <v/>
      </c>
      <c r="T56" s="13" t="str">
        <f t="shared" si="52"/>
        <v/>
      </c>
      <c r="U56" s="13" t="str">
        <f t="shared" si="52"/>
        <v/>
      </c>
      <c r="V56" s="13" t="str">
        <f t="shared" si="52"/>
        <v/>
      </c>
      <c r="W56" s="13" t="str">
        <f t="shared" si="52"/>
        <v/>
      </c>
      <c r="X56" s="13" t="str">
        <f t="shared" si="52"/>
        <v/>
      </c>
      <c r="Y56" s="13" t="str">
        <f t="shared" si="52"/>
        <v>■</v>
      </c>
      <c r="Z56" s="13" t="str">
        <f t="shared" si="52"/>
        <v>■</v>
      </c>
      <c r="AA56" s="13" t="str">
        <f t="shared" si="52"/>
        <v/>
      </c>
      <c r="AB56" s="13" t="str">
        <f t="shared" si="52"/>
        <v/>
      </c>
      <c r="AC56" s="13" t="str">
        <f t="shared" si="52"/>
        <v/>
      </c>
    </row>
    <row r="57" ht="39.0" customHeight="1">
      <c r="A57" s="10" t="s">
        <v>311</v>
      </c>
      <c r="B57" s="10" t="s">
        <v>264</v>
      </c>
      <c r="C57" s="10" t="s">
        <v>20</v>
      </c>
      <c r="D57" s="10" t="s">
        <v>312</v>
      </c>
      <c r="E57" s="10" t="s">
        <v>313</v>
      </c>
      <c r="F57" s="10" t="s">
        <v>46</v>
      </c>
      <c r="G57" s="10" t="s">
        <v>24</v>
      </c>
      <c r="H57" s="11">
        <v>5.0</v>
      </c>
      <c r="I57" s="12">
        <v>46384.0</v>
      </c>
      <c r="J57" s="12">
        <v>46390.0</v>
      </c>
      <c r="K57" s="10" t="s">
        <v>314</v>
      </c>
      <c r="L57" s="10" t="s">
        <v>26</v>
      </c>
      <c r="M57" s="10" t="s">
        <v>315</v>
      </c>
      <c r="N57" s="10" t="s">
        <v>316</v>
      </c>
      <c r="O57" s="13" t="str">
        <f t="shared" ref="O57:AC57" si="53">IF(AND($I57&lt;=O$4+6,$J57&gt;=O$4),IF(OR($C57="Milestone",$C57="Gate"),"◆","■"),"")</f>
        <v/>
      </c>
      <c r="P57" s="13" t="str">
        <f t="shared" si="53"/>
        <v/>
      </c>
      <c r="Q57" s="13" t="str">
        <f t="shared" si="53"/>
        <v/>
      </c>
      <c r="R57" s="13" t="str">
        <f t="shared" si="53"/>
        <v/>
      </c>
      <c r="S57" s="13" t="str">
        <f t="shared" si="53"/>
        <v/>
      </c>
      <c r="T57" s="13" t="str">
        <f t="shared" si="53"/>
        <v/>
      </c>
      <c r="U57" s="13" t="str">
        <f t="shared" si="53"/>
        <v/>
      </c>
      <c r="V57" s="13" t="str">
        <f t="shared" si="53"/>
        <v/>
      </c>
      <c r="W57" s="13" t="str">
        <f t="shared" si="53"/>
        <v/>
      </c>
      <c r="X57" s="13" t="str">
        <f t="shared" si="53"/>
        <v/>
      </c>
      <c r="Y57" s="13" t="str">
        <f t="shared" si="53"/>
        <v/>
      </c>
      <c r="Z57" s="13" t="str">
        <f t="shared" si="53"/>
        <v>■</v>
      </c>
      <c r="AA57" s="13" t="str">
        <f t="shared" si="53"/>
        <v/>
      </c>
      <c r="AB57" s="13" t="str">
        <f t="shared" si="53"/>
        <v/>
      </c>
      <c r="AC57" s="13" t="str">
        <f t="shared" si="53"/>
        <v/>
      </c>
    </row>
    <row r="58" ht="39.0" customHeight="1">
      <c r="A58" s="10" t="s">
        <v>317</v>
      </c>
      <c r="B58" s="10" t="s">
        <v>264</v>
      </c>
      <c r="C58" s="10" t="s">
        <v>20</v>
      </c>
      <c r="D58" s="10" t="s">
        <v>318</v>
      </c>
      <c r="E58" s="10" t="s">
        <v>319</v>
      </c>
      <c r="F58" s="10" t="s">
        <v>23</v>
      </c>
      <c r="G58" s="10" t="s">
        <v>64</v>
      </c>
      <c r="H58" s="11">
        <v>5.0</v>
      </c>
      <c r="I58" s="12">
        <v>46377.0</v>
      </c>
      <c r="J58" s="12">
        <v>46390.0</v>
      </c>
      <c r="K58" s="10" t="s">
        <v>320</v>
      </c>
      <c r="L58" s="10" t="s">
        <v>26</v>
      </c>
      <c r="M58" s="10" t="s">
        <v>321</v>
      </c>
      <c r="N58" s="10" t="s">
        <v>322</v>
      </c>
      <c r="O58" s="13" t="str">
        <f t="shared" ref="O58:AC58" si="54">IF(AND($I58&lt;=O$4+6,$J58&gt;=O$4),IF(OR($C58="Milestone",$C58="Gate"),"◆","■"),"")</f>
        <v/>
      </c>
      <c r="P58" s="13" t="str">
        <f t="shared" si="54"/>
        <v/>
      </c>
      <c r="Q58" s="13" t="str">
        <f t="shared" si="54"/>
        <v/>
      </c>
      <c r="R58" s="13" t="str">
        <f t="shared" si="54"/>
        <v/>
      </c>
      <c r="S58" s="13" t="str">
        <f t="shared" si="54"/>
        <v/>
      </c>
      <c r="T58" s="13" t="str">
        <f t="shared" si="54"/>
        <v/>
      </c>
      <c r="U58" s="13" t="str">
        <f t="shared" si="54"/>
        <v/>
      </c>
      <c r="V58" s="13" t="str">
        <f t="shared" si="54"/>
        <v/>
      </c>
      <c r="W58" s="13" t="str">
        <f t="shared" si="54"/>
        <v/>
      </c>
      <c r="X58" s="13" t="str">
        <f t="shared" si="54"/>
        <v/>
      </c>
      <c r="Y58" s="13" t="str">
        <f t="shared" si="54"/>
        <v>■</v>
      </c>
      <c r="Z58" s="13" t="str">
        <f t="shared" si="54"/>
        <v>■</v>
      </c>
      <c r="AA58" s="13" t="str">
        <f t="shared" si="54"/>
        <v/>
      </c>
      <c r="AB58" s="13" t="str">
        <f t="shared" si="54"/>
        <v/>
      </c>
      <c r="AC58" s="13" t="str">
        <f t="shared" si="54"/>
        <v/>
      </c>
    </row>
    <row r="59" ht="39.0" customHeight="1">
      <c r="A59" s="10" t="s">
        <v>323</v>
      </c>
      <c r="B59" s="10" t="s">
        <v>264</v>
      </c>
      <c r="C59" s="10" t="s">
        <v>187</v>
      </c>
      <c r="D59" s="10" t="s">
        <v>187</v>
      </c>
      <c r="E59" s="10" t="s">
        <v>324</v>
      </c>
      <c r="F59" s="10" t="s">
        <v>23</v>
      </c>
      <c r="G59" s="10" t="s">
        <v>24</v>
      </c>
      <c r="H59" s="11">
        <v>1.0</v>
      </c>
      <c r="I59" s="12">
        <v>46390.0</v>
      </c>
      <c r="J59" s="12">
        <v>46390.0</v>
      </c>
      <c r="K59" s="10" t="s">
        <v>325</v>
      </c>
      <c r="L59" s="10" t="s">
        <v>26</v>
      </c>
      <c r="M59" s="10" t="s">
        <v>326</v>
      </c>
      <c r="N59" s="10" t="s">
        <v>327</v>
      </c>
      <c r="O59" s="13" t="str">
        <f t="shared" ref="O59:AC59" si="55">IF(AND($I59&lt;=O$4+6,$J59&gt;=O$4),IF(OR($C59="Milestone",$C59="Gate"),"◆","■"),"")</f>
        <v/>
      </c>
      <c r="P59" s="13" t="str">
        <f t="shared" si="55"/>
        <v/>
      </c>
      <c r="Q59" s="13" t="str">
        <f t="shared" si="55"/>
        <v/>
      </c>
      <c r="R59" s="13" t="str">
        <f t="shared" si="55"/>
        <v/>
      </c>
      <c r="S59" s="13" t="str">
        <f t="shared" si="55"/>
        <v/>
      </c>
      <c r="T59" s="13" t="str">
        <f t="shared" si="55"/>
        <v/>
      </c>
      <c r="U59" s="13" t="str">
        <f t="shared" si="55"/>
        <v/>
      </c>
      <c r="V59" s="13" t="str">
        <f t="shared" si="55"/>
        <v/>
      </c>
      <c r="W59" s="13" t="str">
        <f t="shared" si="55"/>
        <v/>
      </c>
      <c r="X59" s="13" t="str">
        <f t="shared" si="55"/>
        <v/>
      </c>
      <c r="Y59" s="13" t="str">
        <f t="shared" si="55"/>
        <v/>
      </c>
      <c r="Z59" s="13" t="str">
        <f t="shared" si="55"/>
        <v>◆</v>
      </c>
      <c r="AA59" s="13" t="str">
        <f t="shared" si="55"/>
        <v/>
      </c>
      <c r="AB59" s="13" t="str">
        <f t="shared" si="55"/>
        <v/>
      </c>
      <c r="AC59" s="13" t="str">
        <f t="shared" si="55"/>
        <v/>
      </c>
    </row>
    <row r="60" ht="39.0" customHeight="1">
      <c r="A60" s="10" t="s">
        <v>328</v>
      </c>
      <c r="B60" s="10" t="s">
        <v>329</v>
      </c>
      <c r="C60" s="10" t="s">
        <v>20</v>
      </c>
      <c r="D60" s="10" t="s">
        <v>330</v>
      </c>
      <c r="E60" s="10" t="s">
        <v>331</v>
      </c>
      <c r="F60" s="10" t="s">
        <v>23</v>
      </c>
      <c r="G60" s="10" t="s">
        <v>52</v>
      </c>
      <c r="H60" s="11">
        <v>3.0</v>
      </c>
      <c r="I60" s="12">
        <v>46391.0</v>
      </c>
      <c r="J60" s="12">
        <v>46391.0</v>
      </c>
      <c r="K60" s="10" t="s">
        <v>323</v>
      </c>
      <c r="L60" s="10" t="s">
        <v>26</v>
      </c>
      <c r="M60" s="10" t="s">
        <v>332</v>
      </c>
      <c r="N60" s="10" t="s">
        <v>333</v>
      </c>
      <c r="O60" s="13" t="str">
        <f t="shared" ref="O60:AC60" si="56">IF(AND($I60&lt;=O$4+6,$J60&gt;=O$4),IF(OR($C60="Milestone",$C60="Gate"),"◆","■"),"")</f>
        <v/>
      </c>
      <c r="P60" s="13" t="str">
        <f t="shared" si="56"/>
        <v/>
      </c>
      <c r="Q60" s="13" t="str">
        <f t="shared" si="56"/>
        <v/>
      </c>
      <c r="R60" s="13" t="str">
        <f t="shared" si="56"/>
        <v/>
      </c>
      <c r="S60" s="13" t="str">
        <f t="shared" si="56"/>
        <v/>
      </c>
      <c r="T60" s="13" t="str">
        <f t="shared" si="56"/>
        <v/>
      </c>
      <c r="U60" s="13" t="str">
        <f t="shared" si="56"/>
        <v/>
      </c>
      <c r="V60" s="13" t="str">
        <f t="shared" si="56"/>
        <v/>
      </c>
      <c r="W60" s="13" t="str">
        <f t="shared" si="56"/>
        <v/>
      </c>
      <c r="X60" s="13" t="str">
        <f t="shared" si="56"/>
        <v/>
      </c>
      <c r="Y60" s="13" t="str">
        <f t="shared" si="56"/>
        <v/>
      </c>
      <c r="Z60" s="13" t="str">
        <f t="shared" si="56"/>
        <v/>
      </c>
      <c r="AA60" s="13" t="str">
        <f t="shared" si="56"/>
        <v>■</v>
      </c>
      <c r="AB60" s="13" t="str">
        <f t="shared" si="56"/>
        <v/>
      </c>
      <c r="AC60" s="13" t="str">
        <f t="shared" si="56"/>
        <v/>
      </c>
    </row>
    <row r="61" ht="39.0" customHeight="1">
      <c r="A61" s="10" t="s">
        <v>334</v>
      </c>
      <c r="B61" s="10" t="s">
        <v>329</v>
      </c>
      <c r="C61" s="10" t="s">
        <v>20</v>
      </c>
      <c r="D61" s="10" t="s">
        <v>335</v>
      </c>
      <c r="E61" s="10" t="s">
        <v>336</v>
      </c>
      <c r="F61" s="10" t="s">
        <v>46</v>
      </c>
      <c r="G61" s="10" t="s">
        <v>24</v>
      </c>
      <c r="H61" s="11">
        <v>5.0</v>
      </c>
      <c r="I61" s="12">
        <v>46391.0</v>
      </c>
      <c r="J61" s="12">
        <v>46392.0</v>
      </c>
      <c r="K61" s="10" t="s">
        <v>311</v>
      </c>
      <c r="L61" s="10" t="s">
        <v>26</v>
      </c>
      <c r="M61" s="10" t="s">
        <v>337</v>
      </c>
      <c r="N61" s="10" t="s">
        <v>338</v>
      </c>
      <c r="O61" s="13" t="str">
        <f t="shared" ref="O61:AC61" si="57">IF(AND($I61&lt;=O$4+6,$J61&gt;=O$4),IF(OR($C61="Milestone",$C61="Gate"),"◆","■"),"")</f>
        <v/>
      </c>
      <c r="P61" s="13" t="str">
        <f t="shared" si="57"/>
        <v/>
      </c>
      <c r="Q61" s="13" t="str">
        <f t="shared" si="57"/>
        <v/>
      </c>
      <c r="R61" s="13" t="str">
        <f t="shared" si="57"/>
        <v/>
      </c>
      <c r="S61" s="13" t="str">
        <f t="shared" si="57"/>
        <v/>
      </c>
      <c r="T61" s="13" t="str">
        <f t="shared" si="57"/>
        <v/>
      </c>
      <c r="U61" s="13" t="str">
        <f t="shared" si="57"/>
        <v/>
      </c>
      <c r="V61" s="13" t="str">
        <f t="shared" si="57"/>
        <v/>
      </c>
      <c r="W61" s="13" t="str">
        <f t="shared" si="57"/>
        <v/>
      </c>
      <c r="X61" s="13" t="str">
        <f t="shared" si="57"/>
        <v/>
      </c>
      <c r="Y61" s="13" t="str">
        <f t="shared" si="57"/>
        <v/>
      </c>
      <c r="Z61" s="13" t="str">
        <f t="shared" si="57"/>
        <v/>
      </c>
      <c r="AA61" s="13" t="str">
        <f t="shared" si="57"/>
        <v>■</v>
      </c>
      <c r="AB61" s="13" t="str">
        <f t="shared" si="57"/>
        <v/>
      </c>
      <c r="AC61" s="13" t="str">
        <f t="shared" si="57"/>
        <v/>
      </c>
    </row>
    <row r="62" ht="39.0" customHeight="1">
      <c r="A62" s="10" t="s">
        <v>339</v>
      </c>
      <c r="B62" s="10" t="s">
        <v>329</v>
      </c>
      <c r="C62" s="10" t="s">
        <v>20</v>
      </c>
      <c r="D62" s="10" t="s">
        <v>162</v>
      </c>
      <c r="E62" s="10" t="s">
        <v>340</v>
      </c>
      <c r="F62" s="10" t="s">
        <v>46</v>
      </c>
      <c r="G62" s="10" t="s">
        <v>24</v>
      </c>
      <c r="H62" s="11">
        <v>6.0</v>
      </c>
      <c r="I62" s="12">
        <v>46392.0</v>
      </c>
      <c r="J62" s="12">
        <v>46395.0</v>
      </c>
      <c r="K62" s="10" t="s">
        <v>334</v>
      </c>
      <c r="L62" s="10" t="s">
        <v>26</v>
      </c>
      <c r="M62" s="10" t="s">
        <v>341</v>
      </c>
      <c r="N62" s="10" t="s">
        <v>342</v>
      </c>
      <c r="O62" s="13" t="str">
        <f t="shared" ref="O62:AC62" si="58">IF(AND($I62&lt;=O$4+6,$J62&gt;=O$4),IF(OR($C62="Milestone",$C62="Gate"),"◆","■"),"")</f>
        <v/>
      </c>
      <c r="P62" s="13" t="str">
        <f t="shared" si="58"/>
        <v/>
      </c>
      <c r="Q62" s="13" t="str">
        <f t="shared" si="58"/>
        <v/>
      </c>
      <c r="R62" s="13" t="str">
        <f t="shared" si="58"/>
        <v/>
      </c>
      <c r="S62" s="13" t="str">
        <f t="shared" si="58"/>
        <v/>
      </c>
      <c r="T62" s="13" t="str">
        <f t="shared" si="58"/>
        <v/>
      </c>
      <c r="U62" s="13" t="str">
        <f t="shared" si="58"/>
        <v/>
      </c>
      <c r="V62" s="13" t="str">
        <f t="shared" si="58"/>
        <v/>
      </c>
      <c r="W62" s="13" t="str">
        <f t="shared" si="58"/>
        <v/>
      </c>
      <c r="X62" s="13" t="str">
        <f t="shared" si="58"/>
        <v/>
      </c>
      <c r="Y62" s="13" t="str">
        <f t="shared" si="58"/>
        <v/>
      </c>
      <c r="Z62" s="13" t="str">
        <f t="shared" si="58"/>
        <v/>
      </c>
      <c r="AA62" s="13" t="str">
        <f t="shared" si="58"/>
        <v>■</v>
      </c>
      <c r="AB62" s="13" t="str">
        <f t="shared" si="58"/>
        <v/>
      </c>
      <c r="AC62" s="13" t="str">
        <f t="shared" si="58"/>
        <v/>
      </c>
    </row>
    <row r="63" ht="39.0" customHeight="1">
      <c r="A63" s="10" t="s">
        <v>343</v>
      </c>
      <c r="B63" s="10" t="s">
        <v>329</v>
      </c>
      <c r="C63" s="10" t="s">
        <v>20</v>
      </c>
      <c r="D63" s="10" t="s">
        <v>344</v>
      </c>
      <c r="E63" s="10" t="s">
        <v>345</v>
      </c>
      <c r="F63" s="10" t="s">
        <v>46</v>
      </c>
      <c r="G63" s="10" t="s">
        <v>122</v>
      </c>
      <c r="H63" s="11">
        <v>6.0</v>
      </c>
      <c r="I63" s="12">
        <v>46392.0</v>
      </c>
      <c r="J63" s="12">
        <v>46396.0</v>
      </c>
      <c r="K63" s="10" t="s">
        <v>334</v>
      </c>
      <c r="L63" s="10" t="s">
        <v>26</v>
      </c>
      <c r="M63" s="10" t="s">
        <v>346</v>
      </c>
      <c r="N63" s="10" t="s">
        <v>347</v>
      </c>
      <c r="O63" s="13" t="str">
        <f t="shared" ref="O63:AC63" si="59">IF(AND($I63&lt;=O$4+6,$J63&gt;=O$4),IF(OR($C63="Milestone",$C63="Gate"),"◆","■"),"")</f>
        <v/>
      </c>
      <c r="P63" s="13" t="str">
        <f t="shared" si="59"/>
        <v/>
      </c>
      <c r="Q63" s="13" t="str">
        <f t="shared" si="59"/>
        <v/>
      </c>
      <c r="R63" s="13" t="str">
        <f t="shared" si="59"/>
        <v/>
      </c>
      <c r="S63" s="13" t="str">
        <f t="shared" si="59"/>
        <v/>
      </c>
      <c r="T63" s="13" t="str">
        <f t="shared" si="59"/>
        <v/>
      </c>
      <c r="U63" s="13" t="str">
        <f t="shared" si="59"/>
        <v/>
      </c>
      <c r="V63" s="13" t="str">
        <f t="shared" si="59"/>
        <v/>
      </c>
      <c r="W63" s="13" t="str">
        <f t="shared" si="59"/>
        <v/>
      </c>
      <c r="X63" s="13" t="str">
        <f t="shared" si="59"/>
        <v/>
      </c>
      <c r="Y63" s="13" t="str">
        <f t="shared" si="59"/>
        <v/>
      </c>
      <c r="Z63" s="13" t="str">
        <f t="shared" si="59"/>
        <v/>
      </c>
      <c r="AA63" s="13" t="str">
        <f t="shared" si="59"/>
        <v>■</v>
      </c>
      <c r="AB63" s="13" t="str">
        <f t="shared" si="59"/>
        <v/>
      </c>
      <c r="AC63" s="13" t="str">
        <f t="shared" si="59"/>
        <v/>
      </c>
    </row>
    <row r="64" ht="39.0" customHeight="1">
      <c r="A64" s="10" t="s">
        <v>348</v>
      </c>
      <c r="B64" s="10" t="s">
        <v>329</v>
      </c>
      <c r="C64" s="10" t="s">
        <v>20</v>
      </c>
      <c r="D64" s="10" t="s">
        <v>349</v>
      </c>
      <c r="E64" s="10" t="s">
        <v>350</v>
      </c>
      <c r="F64" s="10" t="s">
        <v>39</v>
      </c>
      <c r="G64" s="10" t="s">
        <v>52</v>
      </c>
      <c r="H64" s="11">
        <v>6.0</v>
      </c>
      <c r="I64" s="12">
        <v>46393.0</v>
      </c>
      <c r="J64" s="12">
        <v>46397.0</v>
      </c>
      <c r="K64" s="10" t="s">
        <v>351</v>
      </c>
      <c r="L64" s="10" t="s">
        <v>26</v>
      </c>
      <c r="M64" s="10" t="s">
        <v>352</v>
      </c>
      <c r="N64" s="10" t="s">
        <v>353</v>
      </c>
      <c r="O64" s="13" t="str">
        <f t="shared" ref="O64:AC64" si="60">IF(AND($I64&lt;=O$4+6,$J64&gt;=O$4),IF(OR($C64="Milestone",$C64="Gate"),"◆","■"),"")</f>
        <v/>
      </c>
      <c r="P64" s="13" t="str">
        <f t="shared" si="60"/>
        <v/>
      </c>
      <c r="Q64" s="13" t="str">
        <f t="shared" si="60"/>
        <v/>
      </c>
      <c r="R64" s="13" t="str">
        <f t="shared" si="60"/>
        <v/>
      </c>
      <c r="S64" s="13" t="str">
        <f t="shared" si="60"/>
        <v/>
      </c>
      <c r="T64" s="13" t="str">
        <f t="shared" si="60"/>
        <v/>
      </c>
      <c r="U64" s="13" t="str">
        <f t="shared" si="60"/>
        <v/>
      </c>
      <c r="V64" s="13" t="str">
        <f t="shared" si="60"/>
        <v/>
      </c>
      <c r="W64" s="13" t="str">
        <f t="shared" si="60"/>
        <v/>
      </c>
      <c r="X64" s="13" t="str">
        <f t="shared" si="60"/>
        <v/>
      </c>
      <c r="Y64" s="13" t="str">
        <f t="shared" si="60"/>
        <v/>
      </c>
      <c r="Z64" s="13" t="str">
        <f t="shared" si="60"/>
        <v/>
      </c>
      <c r="AA64" s="13" t="str">
        <f t="shared" si="60"/>
        <v>■</v>
      </c>
      <c r="AB64" s="13" t="str">
        <f t="shared" si="60"/>
        <v/>
      </c>
      <c r="AC64" s="13" t="str">
        <f t="shared" si="60"/>
        <v/>
      </c>
    </row>
    <row r="65" ht="39.0" customHeight="1">
      <c r="A65" s="10" t="s">
        <v>354</v>
      </c>
      <c r="B65" s="10" t="s">
        <v>329</v>
      </c>
      <c r="C65" s="10" t="s">
        <v>20</v>
      </c>
      <c r="D65" s="10" t="s">
        <v>355</v>
      </c>
      <c r="E65" s="10" t="s">
        <v>356</v>
      </c>
      <c r="F65" s="10" t="s">
        <v>32</v>
      </c>
      <c r="G65" s="10" t="s">
        <v>52</v>
      </c>
      <c r="H65" s="11">
        <v>6.0</v>
      </c>
      <c r="I65" s="12">
        <v>46393.0</v>
      </c>
      <c r="J65" s="12">
        <v>46397.0</v>
      </c>
      <c r="K65" s="10" t="s">
        <v>351</v>
      </c>
      <c r="L65" s="10" t="s">
        <v>26</v>
      </c>
      <c r="M65" s="10" t="s">
        <v>357</v>
      </c>
      <c r="N65" s="10" t="s">
        <v>358</v>
      </c>
      <c r="O65" s="13" t="str">
        <f t="shared" ref="O65:AC65" si="61">IF(AND($I65&lt;=O$4+6,$J65&gt;=O$4),IF(OR($C65="Milestone",$C65="Gate"),"◆","■"),"")</f>
        <v/>
      </c>
      <c r="P65" s="13" t="str">
        <f t="shared" si="61"/>
        <v/>
      </c>
      <c r="Q65" s="13" t="str">
        <f t="shared" si="61"/>
        <v/>
      </c>
      <c r="R65" s="13" t="str">
        <f t="shared" si="61"/>
        <v/>
      </c>
      <c r="S65" s="13" t="str">
        <f t="shared" si="61"/>
        <v/>
      </c>
      <c r="T65" s="13" t="str">
        <f t="shared" si="61"/>
        <v/>
      </c>
      <c r="U65" s="13" t="str">
        <f t="shared" si="61"/>
        <v/>
      </c>
      <c r="V65" s="13" t="str">
        <f t="shared" si="61"/>
        <v/>
      </c>
      <c r="W65" s="13" t="str">
        <f t="shared" si="61"/>
        <v/>
      </c>
      <c r="X65" s="13" t="str">
        <f t="shared" si="61"/>
        <v/>
      </c>
      <c r="Y65" s="13" t="str">
        <f t="shared" si="61"/>
        <v/>
      </c>
      <c r="Z65" s="13" t="str">
        <f t="shared" si="61"/>
        <v/>
      </c>
      <c r="AA65" s="13" t="str">
        <f t="shared" si="61"/>
        <v>■</v>
      </c>
      <c r="AB65" s="13" t="str">
        <f t="shared" si="61"/>
        <v/>
      </c>
      <c r="AC65" s="13" t="str">
        <f t="shared" si="61"/>
        <v/>
      </c>
    </row>
    <row r="66" ht="39.0" customHeight="1">
      <c r="A66" s="10" t="s">
        <v>359</v>
      </c>
      <c r="B66" s="10" t="s">
        <v>329</v>
      </c>
      <c r="C66" s="10" t="s">
        <v>20</v>
      </c>
      <c r="D66" s="10" t="s">
        <v>360</v>
      </c>
      <c r="E66" s="10" t="s">
        <v>361</v>
      </c>
      <c r="F66" s="10" t="s">
        <v>23</v>
      </c>
      <c r="G66" s="10" t="s">
        <v>52</v>
      </c>
      <c r="H66" s="11">
        <v>5.0</v>
      </c>
      <c r="I66" s="12">
        <v>46393.0</v>
      </c>
      <c r="J66" s="12">
        <v>46397.0</v>
      </c>
      <c r="K66" s="10" t="s">
        <v>351</v>
      </c>
      <c r="L66" s="10" t="s">
        <v>26</v>
      </c>
      <c r="M66" s="10" t="s">
        <v>362</v>
      </c>
      <c r="N66" s="10" t="s">
        <v>363</v>
      </c>
      <c r="O66" s="13" t="str">
        <f t="shared" ref="O66:AC66" si="62">IF(AND($I66&lt;=O$4+6,$J66&gt;=O$4),IF(OR($C66="Milestone",$C66="Gate"),"◆","■"),"")</f>
        <v/>
      </c>
      <c r="P66" s="13" t="str">
        <f t="shared" si="62"/>
        <v/>
      </c>
      <c r="Q66" s="13" t="str">
        <f t="shared" si="62"/>
        <v/>
      </c>
      <c r="R66" s="13" t="str">
        <f t="shared" si="62"/>
        <v/>
      </c>
      <c r="S66" s="13" t="str">
        <f t="shared" si="62"/>
        <v/>
      </c>
      <c r="T66" s="13" t="str">
        <f t="shared" si="62"/>
        <v/>
      </c>
      <c r="U66" s="13" t="str">
        <f t="shared" si="62"/>
        <v/>
      </c>
      <c r="V66" s="13" t="str">
        <f t="shared" si="62"/>
        <v/>
      </c>
      <c r="W66" s="13" t="str">
        <f t="shared" si="62"/>
        <v/>
      </c>
      <c r="X66" s="13" t="str">
        <f t="shared" si="62"/>
        <v/>
      </c>
      <c r="Y66" s="13" t="str">
        <f t="shared" si="62"/>
        <v/>
      </c>
      <c r="Z66" s="13" t="str">
        <f t="shared" si="62"/>
        <v/>
      </c>
      <c r="AA66" s="13" t="str">
        <f t="shared" si="62"/>
        <v>■</v>
      </c>
      <c r="AB66" s="13" t="str">
        <f t="shared" si="62"/>
        <v/>
      </c>
      <c r="AC66" s="13" t="str">
        <f t="shared" si="62"/>
        <v/>
      </c>
    </row>
    <row r="67" ht="39.0" customHeight="1">
      <c r="A67" s="10" t="s">
        <v>364</v>
      </c>
      <c r="B67" s="10" t="s">
        <v>329</v>
      </c>
      <c r="C67" s="10" t="s">
        <v>20</v>
      </c>
      <c r="D67" s="10" t="s">
        <v>365</v>
      </c>
      <c r="E67" s="10" t="s">
        <v>366</v>
      </c>
      <c r="F67" s="10" t="s">
        <v>46</v>
      </c>
      <c r="G67" s="10" t="s">
        <v>24</v>
      </c>
      <c r="H67" s="11">
        <v>6.0</v>
      </c>
      <c r="I67" s="12">
        <v>46395.0</v>
      </c>
      <c r="J67" s="12">
        <v>46398.0</v>
      </c>
      <c r="K67" s="10" t="s">
        <v>367</v>
      </c>
      <c r="L67" s="10" t="s">
        <v>26</v>
      </c>
      <c r="M67" s="10" t="s">
        <v>368</v>
      </c>
      <c r="N67" s="10" t="s">
        <v>369</v>
      </c>
      <c r="O67" s="13" t="str">
        <f t="shared" ref="O67:AC67" si="63">IF(AND($I67&lt;=O$4+6,$J67&gt;=O$4),IF(OR($C67="Milestone",$C67="Gate"),"◆","■"),"")</f>
        <v/>
      </c>
      <c r="P67" s="13" t="str">
        <f t="shared" si="63"/>
        <v/>
      </c>
      <c r="Q67" s="13" t="str">
        <f t="shared" si="63"/>
        <v/>
      </c>
      <c r="R67" s="13" t="str">
        <f t="shared" si="63"/>
        <v/>
      </c>
      <c r="S67" s="13" t="str">
        <f t="shared" si="63"/>
        <v/>
      </c>
      <c r="T67" s="13" t="str">
        <f t="shared" si="63"/>
        <v/>
      </c>
      <c r="U67" s="13" t="str">
        <f t="shared" si="63"/>
        <v/>
      </c>
      <c r="V67" s="13" t="str">
        <f t="shared" si="63"/>
        <v/>
      </c>
      <c r="W67" s="13" t="str">
        <f t="shared" si="63"/>
        <v/>
      </c>
      <c r="X67" s="13" t="str">
        <f t="shared" si="63"/>
        <v/>
      </c>
      <c r="Y67" s="13" t="str">
        <f t="shared" si="63"/>
        <v/>
      </c>
      <c r="Z67" s="13" t="str">
        <f t="shared" si="63"/>
        <v/>
      </c>
      <c r="AA67" s="13" t="str">
        <f t="shared" si="63"/>
        <v>■</v>
      </c>
      <c r="AB67" s="13" t="str">
        <f t="shared" si="63"/>
        <v>■</v>
      </c>
      <c r="AC67" s="13" t="str">
        <f t="shared" si="63"/>
        <v/>
      </c>
    </row>
    <row r="68" ht="39.0" customHeight="1">
      <c r="A68" s="10" t="s">
        <v>370</v>
      </c>
      <c r="B68" s="10" t="s">
        <v>329</v>
      </c>
      <c r="C68" s="10" t="s">
        <v>20</v>
      </c>
      <c r="D68" s="10" t="s">
        <v>371</v>
      </c>
      <c r="E68" s="10" t="s">
        <v>372</v>
      </c>
      <c r="F68" s="10" t="s">
        <v>46</v>
      </c>
      <c r="G68" s="10" t="s">
        <v>40</v>
      </c>
      <c r="H68" s="11">
        <v>4.0</v>
      </c>
      <c r="I68" s="12">
        <v>46398.0</v>
      </c>
      <c r="J68" s="12">
        <v>46398.0</v>
      </c>
      <c r="K68" s="10" t="s">
        <v>364</v>
      </c>
      <c r="L68" s="10" t="s">
        <v>26</v>
      </c>
      <c r="M68" s="10" t="s">
        <v>373</v>
      </c>
      <c r="N68" s="10" t="s">
        <v>374</v>
      </c>
      <c r="O68" s="13" t="str">
        <f t="shared" ref="O68:AC68" si="64">IF(AND($I68&lt;=O$4+6,$J68&gt;=O$4),IF(OR($C68="Milestone",$C68="Gate"),"◆","■"),"")</f>
        <v/>
      </c>
      <c r="P68" s="13" t="str">
        <f t="shared" si="64"/>
        <v/>
      </c>
      <c r="Q68" s="13" t="str">
        <f t="shared" si="64"/>
        <v/>
      </c>
      <c r="R68" s="13" t="str">
        <f t="shared" si="64"/>
        <v/>
      </c>
      <c r="S68" s="13" t="str">
        <f t="shared" si="64"/>
        <v/>
      </c>
      <c r="T68" s="13" t="str">
        <f t="shared" si="64"/>
        <v/>
      </c>
      <c r="U68" s="13" t="str">
        <f t="shared" si="64"/>
        <v/>
      </c>
      <c r="V68" s="13" t="str">
        <f t="shared" si="64"/>
        <v/>
      </c>
      <c r="W68" s="13" t="str">
        <f t="shared" si="64"/>
        <v/>
      </c>
      <c r="X68" s="13" t="str">
        <f t="shared" si="64"/>
        <v/>
      </c>
      <c r="Y68" s="13" t="str">
        <f t="shared" si="64"/>
        <v/>
      </c>
      <c r="Z68" s="13" t="str">
        <f t="shared" si="64"/>
        <v/>
      </c>
      <c r="AA68" s="13" t="str">
        <f t="shared" si="64"/>
        <v/>
      </c>
      <c r="AB68" s="13" t="str">
        <f t="shared" si="64"/>
        <v>■</v>
      </c>
      <c r="AC68" s="13" t="str">
        <f t="shared" si="64"/>
        <v/>
      </c>
    </row>
    <row r="69" ht="39.0" customHeight="1">
      <c r="A69" s="10" t="s">
        <v>375</v>
      </c>
      <c r="B69" s="10" t="s">
        <v>329</v>
      </c>
      <c r="C69" s="10" t="s">
        <v>186</v>
      </c>
      <c r="D69" s="10" t="s">
        <v>187</v>
      </c>
      <c r="E69" s="10" t="s">
        <v>376</v>
      </c>
      <c r="F69" s="10" t="s">
        <v>46</v>
      </c>
      <c r="G69" s="10" t="s">
        <v>24</v>
      </c>
      <c r="H69" s="11">
        <v>1.0</v>
      </c>
      <c r="I69" s="12">
        <v>46398.0</v>
      </c>
      <c r="J69" s="12">
        <v>46398.0</v>
      </c>
      <c r="K69" s="10" t="s">
        <v>370</v>
      </c>
      <c r="L69" s="10" t="s">
        <v>26</v>
      </c>
      <c r="M69" s="10" t="s">
        <v>377</v>
      </c>
      <c r="N69" s="10" t="s">
        <v>190</v>
      </c>
      <c r="O69" s="13" t="str">
        <f t="shared" ref="O69:AC69" si="65">IF(AND($I69&lt;=O$4+6,$J69&gt;=O$4),IF(OR($C69="Milestone",$C69="Gate"),"◆","■"),"")</f>
        <v/>
      </c>
      <c r="P69" s="13" t="str">
        <f t="shared" si="65"/>
        <v/>
      </c>
      <c r="Q69" s="13" t="str">
        <f t="shared" si="65"/>
        <v/>
      </c>
      <c r="R69" s="13" t="str">
        <f t="shared" si="65"/>
        <v/>
      </c>
      <c r="S69" s="13" t="str">
        <f t="shared" si="65"/>
        <v/>
      </c>
      <c r="T69" s="13" t="str">
        <f t="shared" si="65"/>
        <v/>
      </c>
      <c r="U69" s="13" t="str">
        <f t="shared" si="65"/>
        <v/>
      </c>
      <c r="V69" s="13" t="str">
        <f t="shared" si="65"/>
        <v/>
      </c>
      <c r="W69" s="13" t="str">
        <f t="shared" si="65"/>
        <v/>
      </c>
      <c r="X69" s="13" t="str">
        <f t="shared" si="65"/>
        <v/>
      </c>
      <c r="Y69" s="13" t="str">
        <f t="shared" si="65"/>
        <v/>
      </c>
      <c r="Z69" s="13" t="str">
        <f t="shared" si="65"/>
        <v/>
      </c>
      <c r="AA69" s="13" t="str">
        <f t="shared" si="65"/>
        <v/>
      </c>
      <c r="AB69" s="13" t="str">
        <f t="shared" si="65"/>
        <v>◆</v>
      </c>
      <c r="AC69" s="13" t="str">
        <f t="shared" si="65"/>
        <v/>
      </c>
    </row>
    <row r="70" ht="39.0" customHeight="1">
      <c r="A70" s="10" t="s">
        <v>378</v>
      </c>
      <c r="B70" s="10" t="s">
        <v>379</v>
      </c>
      <c r="C70" s="10" t="s">
        <v>20</v>
      </c>
      <c r="D70" s="10" t="s">
        <v>380</v>
      </c>
      <c r="E70" s="10" t="s">
        <v>381</v>
      </c>
      <c r="F70" s="10" t="s">
        <v>39</v>
      </c>
      <c r="G70" s="10" t="s">
        <v>52</v>
      </c>
      <c r="H70" s="11">
        <v>5.0</v>
      </c>
      <c r="I70" s="12">
        <v>46399.0</v>
      </c>
      <c r="J70" s="12">
        <v>46402.0</v>
      </c>
      <c r="K70" s="10" t="s">
        <v>375</v>
      </c>
      <c r="L70" s="10" t="s">
        <v>26</v>
      </c>
      <c r="M70" s="10" t="s">
        <v>382</v>
      </c>
      <c r="N70" s="10" t="s">
        <v>383</v>
      </c>
      <c r="O70" s="13" t="str">
        <f t="shared" ref="O70:AC70" si="66">IF(AND($I70&lt;=O$4+6,$J70&gt;=O$4),IF(OR($C70="Milestone",$C70="Gate"),"◆","■"),"")</f>
        <v/>
      </c>
      <c r="P70" s="13" t="str">
        <f t="shared" si="66"/>
        <v/>
      </c>
      <c r="Q70" s="13" t="str">
        <f t="shared" si="66"/>
        <v/>
      </c>
      <c r="R70" s="13" t="str">
        <f t="shared" si="66"/>
        <v/>
      </c>
      <c r="S70" s="13" t="str">
        <f t="shared" si="66"/>
        <v/>
      </c>
      <c r="T70" s="13" t="str">
        <f t="shared" si="66"/>
        <v/>
      </c>
      <c r="U70" s="13" t="str">
        <f t="shared" si="66"/>
        <v/>
      </c>
      <c r="V70" s="13" t="str">
        <f t="shared" si="66"/>
        <v/>
      </c>
      <c r="W70" s="13" t="str">
        <f t="shared" si="66"/>
        <v/>
      </c>
      <c r="X70" s="13" t="str">
        <f t="shared" si="66"/>
        <v/>
      </c>
      <c r="Y70" s="13" t="str">
        <f t="shared" si="66"/>
        <v/>
      </c>
      <c r="Z70" s="13" t="str">
        <f t="shared" si="66"/>
        <v/>
      </c>
      <c r="AA70" s="13" t="str">
        <f t="shared" si="66"/>
        <v/>
      </c>
      <c r="AB70" s="13" t="str">
        <f t="shared" si="66"/>
        <v>■</v>
      </c>
      <c r="AC70" s="13" t="str">
        <f t="shared" si="66"/>
        <v/>
      </c>
    </row>
    <row r="71" ht="39.0" customHeight="1">
      <c r="A71" s="10" t="s">
        <v>384</v>
      </c>
      <c r="B71" s="10" t="s">
        <v>379</v>
      </c>
      <c r="C71" s="10" t="s">
        <v>20</v>
      </c>
      <c r="D71" s="10" t="s">
        <v>385</v>
      </c>
      <c r="E71" s="10" t="s">
        <v>386</v>
      </c>
      <c r="F71" s="10" t="s">
        <v>32</v>
      </c>
      <c r="G71" s="10" t="s">
        <v>52</v>
      </c>
      <c r="H71" s="11">
        <v>5.0</v>
      </c>
      <c r="I71" s="12">
        <v>46399.0</v>
      </c>
      <c r="J71" s="12">
        <v>46402.0</v>
      </c>
      <c r="K71" s="10" t="s">
        <v>375</v>
      </c>
      <c r="L71" s="10" t="s">
        <v>26</v>
      </c>
      <c r="M71" s="10" t="s">
        <v>387</v>
      </c>
      <c r="N71" s="10" t="s">
        <v>383</v>
      </c>
      <c r="O71" s="13" t="str">
        <f t="shared" ref="O71:AC71" si="67">IF(AND($I71&lt;=O$4+6,$J71&gt;=O$4),IF(OR($C71="Milestone",$C71="Gate"),"◆","■"),"")</f>
        <v/>
      </c>
      <c r="P71" s="13" t="str">
        <f t="shared" si="67"/>
        <v/>
      </c>
      <c r="Q71" s="13" t="str">
        <f t="shared" si="67"/>
        <v/>
      </c>
      <c r="R71" s="13" t="str">
        <f t="shared" si="67"/>
        <v/>
      </c>
      <c r="S71" s="13" t="str">
        <f t="shared" si="67"/>
        <v/>
      </c>
      <c r="T71" s="13" t="str">
        <f t="shared" si="67"/>
        <v/>
      </c>
      <c r="U71" s="13" t="str">
        <f t="shared" si="67"/>
        <v/>
      </c>
      <c r="V71" s="13" t="str">
        <f t="shared" si="67"/>
        <v/>
      </c>
      <c r="W71" s="13" t="str">
        <f t="shared" si="67"/>
        <v/>
      </c>
      <c r="X71" s="13" t="str">
        <f t="shared" si="67"/>
        <v/>
      </c>
      <c r="Y71" s="13" t="str">
        <f t="shared" si="67"/>
        <v/>
      </c>
      <c r="Z71" s="13" t="str">
        <f t="shared" si="67"/>
        <v/>
      </c>
      <c r="AA71" s="13" t="str">
        <f t="shared" si="67"/>
        <v/>
      </c>
      <c r="AB71" s="13" t="str">
        <f t="shared" si="67"/>
        <v>■</v>
      </c>
      <c r="AC71" s="13" t="str">
        <f t="shared" si="67"/>
        <v/>
      </c>
    </row>
    <row r="72" ht="39.0" customHeight="1">
      <c r="A72" s="10" t="s">
        <v>388</v>
      </c>
      <c r="B72" s="10" t="s">
        <v>379</v>
      </c>
      <c r="C72" s="10" t="s">
        <v>20</v>
      </c>
      <c r="D72" s="10" t="s">
        <v>389</v>
      </c>
      <c r="E72" s="10" t="s">
        <v>390</v>
      </c>
      <c r="F72" s="10" t="s">
        <v>23</v>
      </c>
      <c r="G72" s="10" t="s">
        <v>52</v>
      </c>
      <c r="H72" s="11">
        <v>4.0</v>
      </c>
      <c r="I72" s="12">
        <v>46399.0</v>
      </c>
      <c r="J72" s="12">
        <v>46402.0</v>
      </c>
      <c r="K72" s="10" t="s">
        <v>375</v>
      </c>
      <c r="L72" s="10" t="s">
        <v>26</v>
      </c>
      <c r="M72" s="10" t="s">
        <v>391</v>
      </c>
      <c r="N72" s="10" t="s">
        <v>392</v>
      </c>
      <c r="O72" s="13" t="str">
        <f t="shared" ref="O72:AC72" si="68">IF(AND($I72&lt;=O$4+6,$J72&gt;=O$4),IF(OR($C72="Milestone",$C72="Gate"),"◆","■"),"")</f>
        <v/>
      </c>
      <c r="P72" s="13" t="str">
        <f t="shared" si="68"/>
        <v/>
      </c>
      <c r="Q72" s="13" t="str">
        <f t="shared" si="68"/>
        <v/>
      </c>
      <c r="R72" s="13" t="str">
        <f t="shared" si="68"/>
        <v/>
      </c>
      <c r="S72" s="13" t="str">
        <f t="shared" si="68"/>
        <v/>
      </c>
      <c r="T72" s="13" t="str">
        <f t="shared" si="68"/>
        <v/>
      </c>
      <c r="U72" s="13" t="str">
        <f t="shared" si="68"/>
        <v/>
      </c>
      <c r="V72" s="13" t="str">
        <f t="shared" si="68"/>
        <v/>
      </c>
      <c r="W72" s="13" t="str">
        <f t="shared" si="68"/>
        <v/>
      </c>
      <c r="X72" s="13" t="str">
        <f t="shared" si="68"/>
        <v/>
      </c>
      <c r="Y72" s="13" t="str">
        <f t="shared" si="68"/>
        <v/>
      </c>
      <c r="Z72" s="13" t="str">
        <f t="shared" si="68"/>
        <v/>
      </c>
      <c r="AA72" s="13" t="str">
        <f t="shared" si="68"/>
        <v/>
      </c>
      <c r="AB72" s="13" t="str">
        <f t="shared" si="68"/>
        <v>■</v>
      </c>
      <c r="AC72" s="13" t="str">
        <f t="shared" si="68"/>
        <v/>
      </c>
    </row>
    <row r="73" ht="39.0" customHeight="1">
      <c r="A73" s="10" t="s">
        <v>393</v>
      </c>
      <c r="B73" s="10" t="s">
        <v>379</v>
      </c>
      <c r="C73" s="10" t="s">
        <v>20</v>
      </c>
      <c r="D73" s="10" t="s">
        <v>394</v>
      </c>
      <c r="E73" s="10" t="s">
        <v>395</v>
      </c>
      <c r="F73" s="10" t="s">
        <v>46</v>
      </c>
      <c r="G73" s="10" t="s">
        <v>24</v>
      </c>
      <c r="H73" s="11">
        <v>5.0</v>
      </c>
      <c r="I73" s="12">
        <v>46402.0</v>
      </c>
      <c r="J73" s="12">
        <v>46403.0</v>
      </c>
      <c r="K73" s="10" t="s">
        <v>396</v>
      </c>
      <c r="L73" s="10" t="s">
        <v>26</v>
      </c>
      <c r="M73" s="10" t="s">
        <v>397</v>
      </c>
      <c r="N73" s="10" t="s">
        <v>398</v>
      </c>
      <c r="O73" s="13" t="str">
        <f t="shared" ref="O73:AC73" si="69">IF(AND($I73&lt;=O$4+6,$J73&gt;=O$4),IF(OR($C73="Milestone",$C73="Gate"),"◆","■"),"")</f>
        <v/>
      </c>
      <c r="P73" s="13" t="str">
        <f t="shared" si="69"/>
        <v/>
      </c>
      <c r="Q73" s="13" t="str">
        <f t="shared" si="69"/>
        <v/>
      </c>
      <c r="R73" s="13" t="str">
        <f t="shared" si="69"/>
        <v/>
      </c>
      <c r="S73" s="13" t="str">
        <f t="shared" si="69"/>
        <v/>
      </c>
      <c r="T73" s="13" t="str">
        <f t="shared" si="69"/>
        <v/>
      </c>
      <c r="U73" s="13" t="str">
        <f t="shared" si="69"/>
        <v/>
      </c>
      <c r="V73" s="13" t="str">
        <f t="shared" si="69"/>
        <v/>
      </c>
      <c r="W73" s="13" t="str">
        <f t="shared" si="69"/>
        <v/>
      </c>
      <c r="X73" s="13" t="str">
        <f t="shared" si="69"/>
        <v/>
      </c>
      <c r="Y73" s="13" t="str">
        <f t="shared" si="69"/>
        <v/>
      </c>
      <c r="Z73" s="13" t="str">
        <f t="shared" si="69"/>
        <v/>
      </c>
      <c r="AA73" s="13" t="str">
        <f t="shared" si="69"/>
        <v/>
      </c>
      <c r="AB73" s="13" t="str">
        <f t="shared" si="69"/>
        <v>■</v>
      </c>
      <c r="AC73" s="13" t="str">
        <f t="shared" si="69"/>
        <v/>
      </c>
    </row>
    <row r="74" ht="39.0" customHeight="1">
      <c r="A74" s="10" t="s">
        <v>399</v>
      </c>
      <c r="B74" s="10" t="s">
        <v>379</v>
      </c>
      <c r="C74" s="10" t="s">
        <v>20</v>
      </c>
      <c r="D74" s="10" t="s">
        <v>400</v>
      </c>
      <c r="E74" s="10" t="s">
        <v>401</v>
      </c>
      <c r="F74" s="10" t="s">
        <v>23</v>
      </c>
      <c r="G74" s="10" t="s">
        <v>24</v>
      </c>
      <c r="H74" s="11">
        <v>5.0</v>
      </c>
      <c r="I74" s="12">
        <v>46399.0</v>
      </c>
      <c r="J74" s="12">
        <v>46403.0</v>
      </c>
      <c r="K74" s="10" t="s">
        <v>375</v>
      </c>
      <c r="L74" s="10" t="s">
        <v>26</v>
      </c>
      <c r="M74" s="10" t="s">
        <v>402</v>
      </c>
      <c r="N74" s="10" t="s">
        <v>403</v>
      </c>
      <c r="O74" s="13" t="str">
        <f t="shared" ref="O74:AC74" si="70">IF(AND($I74&lt;=O$4+6,$J74&gt;=O$4),IF(OR($C74="Milestone",$C74="Gate"),"◆","■"),"")</f>
        <v/>
      </c>
      <c r="P74" s="13" t="str">
        <f t="shared" si="70"/>
        <v/>
      </c>
      <c r="Q74" s="13" t="str">
        <f t="shared" si="70"/>
        <v/>
      </c>
      <c r="R74" s="13" t="str">
        <f t="shared" si="70"/>
        <v/>
      </c>
      <c r="S74" s="13" t="str">
        <f t="shared" si="70"/>
        <v/>
      </c>
      <c r="T74" s="13" t="str">
        <f t="shared" si="70"/>
        <v/>
      </c>
      <c r="U74" s="13" t="str">
        <f t="shared" si="70"/>
        <v/>
      </c>
      <c r="V74" s="13" t="str">
        <f t="shared" si="70"/>
        <v/>
      </c>
      <c r="W74" s="13" t="str">
        <f t="shared" si="70"/>
        <v/>
      </c>
      <c r="X74" s="13" t="str">
        <f t="shared" si="70"/>
        <v/>
      </c>
      <c r="Y74" s="13" t="str">
        <f t="shared" si="70"/>
        <v/>
      </c>
      <c r="Z74" s="13" t="str">
        <f t="shared" si="70"/>
        <v/>
      </c>
      <c r="AA74" s="13" t="str">
        <f t="shared" si="70"/>
        <v/>
      </c>
      <c r="AB74" s="13" t="str">
        <f t="shared" si="70"/>
        <v>■</v>
      </c>
      <c r="AC74" s="13" t="str">
        <f t="shared" si="70"/>
        <v/>
      </c>
    </row>
    <row r="75" ht="39.0" customHeight="1">
      <c r="A75" s="10" t="s">
        <v>404</v>
      </c>
      <c r="B75" s="10" t="s">
        <v>379</v>
      </c>
      <c r="C75" s="10" t="s">
        <v>20</v>
      </c>
      <c r="D75" s="10" t="s">
        <v>405</v>
      </c>
      <c r="E75" s="10" t="s">
        <v>406</v>
      </c>
      <c r="F75" s="10" t="s">
        <v>23</v>
      </c>
      <c r="G75" s="10" t="s">
        <v>24</v>
      </c>
      <c r="H75" s="11">
        <v>4.0</v>
      </c>
      <c r="I75" s="12">
        <v>46402.0</v>
      </c>
      <c r="J75" s="12">
        <v>46404.0</v>
      </c>
      <c r="K75" s="10" t="s">
        <v>407</v>
      </c>
      <c r="L75" s="10" t="s">
        <v>26</v>
      </c>
      <c r="M75" s="10" t="s">
        <v>408</v>
      </c>
      <c r="N75" s="10" t="s">
        <v>409</v>
      </c>
      <c r="O75" s="13" t="str">
        <f t="shared" ref="O75:AC75" si="71">IF(AND($I75&lt;=O$4+6,$J75&gt;=O$4),IF(OR($C75="Milestone",$C75="Gate"),"◆","■"),"")</f>
        <v/>
      </c>
      <c r="P75" s="13" t="str">
        <f t="shared" si="71"/>
        <v/>
      </c>
      <c r="Q75" s="13" t="str">
        <f t="shared" si="71"/>
        <v/>
      </c>
      <c r="R75" s="13" t="str">
        <f t="shared" si="71"/>
        <v/>
      </c>
      <c r="S75" s="13" t="str">
        <f t="shared" si="71"/>
        <v/>
      </c>
      <c r="T75" s="13" t="str">
        <f t="shared" si="71"/>
        <v/>
      </c>
      <c r="U75" s="13" t="str">
        <f t="shared" si="71"/>
        <v/>
      </c>
      <c r="V75" s="13" t="str">
        <f t="shared" si="71"/>
        <v/>
      </c>
      <c r="W75" s="13" t="str">
        <f t="shared" si="71"/>
        <v/>
      </c>
      <c r="X75" s="13" t="str">
        <f t="shared" si="71"/>
        <v/>
      </c>
      <c r="Y75" s="13" t="str">
        <f t="shared" si="71"/>
        <v/>
      </c>
      <c r="Z75" s="13" t="str">
        <f t="shared" si="71"/>
        <v/>
      </c>
      <c r="AA75" s="13" t="str">
        <f t="shared" si="71"/>
        <v/>
      </c>
      <c r="AB75" s="13" t="str">
        <f t="shared" si="71"/>
        <v>■</v>
      </c>
      <c r="AC75" s="13" t="str">
        <f t="shared" si="71"/>
        <v/>
      </c>
    </row>
    <row r="76" ht="39.0" customHeight="1">
      <c r="A76" s="10" t="s">
        <v>410</v>
      </c>
      <c r="B76" s="10" t="s">
        <v>379</v>
      </c>
      <c r="C76" s="10" t="s">
        <v>20</v>
      </c>
      <c r="D76" s="10" t="s">
        <v>411</v>
      </c>
      <c r="E76" s="10" t="s">
        <v>412</v>
      </c>
      <c r="F76" s="10" t="s">
        <v>32</v>
      </c>
      <c r="G76" s="10" t="s">
        <v>58</v>
      </c>
      <c r="H76" s="11">
        <v>4.0</v>
      </c>
      <c r="I76" s="12">
        <v>46402.0</v>
      </c>
      <c r="J76" s="12">
        <v>46404.0</v>
      </c>
      <c r="K76" s="10" t="s">
        <v>413</v>
      </c>
      <c r="L76" s="10" t="s">
        <v>26</v>
      </c>
      <c r="M76" s="10" t="s">
        <v>414</v>
      </c>
      <c r="N76" s="10" t="s">
        <v>415</v>
      </c>
      <c r="O76" s="13" t="str">
        <f t="shared" ref="O76:AC76" si="72">IF(AND($I76&lt;=O$4+6,$J76&gt;=O$4),IF(OR($C76="Milestone",$C76="Gate"),"◆","■"),"")</f>
        <v/>
      </c>
      <c r="P76" s="13" t="str">
        <f t="shared" si="72"/>
        <v/>
      </c>
      <c r="Q76" s="13" t="str">
        <f t="shared" si="72"/>
        <v/>
      </c>
      <c r="R76" s="13" t="str">
        <f t="shared" si="72"/>
        <v/>
      </c>
      <c r="S76" s="13" t="str">
        <f t="shared" si="72"/>
        <v/>
      </c>
      <c r="T76" s="13" t="str">
        <f t="shared" si="72"/>
        <v/>
      </c>
      <c r="U76" s="13" t="str">
        <f t="shared" si="72"/>
        <v/>
      </c>
      <c r="V76" s="13" t="str">
        <f t="shared" si="72"/>
        <v/>
      </c>
      <c r="W76" s="13" t="str">
        <f t="shared" si="72"/>
        <v/>
      </c>
      <c r="X76" s="13" t="str">
        <f t="shared" si="72"/>
        <v/>
      </c>
      <c r="Y76" s="13" t="str">
        <f t="shared" si="72"/>
        <v/>
      </c>
      <c r="Z76" s="13" t="str">
        <f t="shared" si="72"/>
        <v/>
      </c>
      <c r="AA76" s="13" t="str">
        <f t="shared" si="72"/>
        <v/>
      </c>
      <c r="AB76" s="13" t="str">
        <f t="shared" si="72"/>
        <v>■</v>
      </c>
      <c r="AC76" s="13" t="str">
        <f t="shared" si="72"/>
        <v/>
      </c>
    </row>
    <row r="77" ht="39.0" customHeight="1">
      <c r="A77" s="10" t="s">
        <v>416</v>
      </c>
      <c r="B77" s="10" t="s">
        <v>379</v>
      </c>
      <c r="C77" s="10" t="s">
        <v>20</v>
      </c>
      <c r="D77" s="10" t="s">
        <v>417</v>
      </c>
      <c r="E77" s="10" t="s">
        <v>418</v>
      </c>
      <c r="F77" s="10" t="s">
        <v>39</v>
      </c>
      <c r="G77" s="10" t="s">
        <v>40</v>
      </c>
      <c r="H77" s="11">
        <v>4.0</v>
      </c>
      <c r="I77" s="12">
        <v>46402.0</v>
      </c>
      <c r="J77" s="12">
        <v>46404.0</v>
      </c>
      <c r="K77" s="10" t="s">
        <v>419</v>
      </c>
      <c r="L77" s="10" t="s">
        <v>26</v>
      </c>
      <c r="M77" s="10" t="s">
        <v>420</v>
      </c>
      <c r="N77" s="10" t="s">
        <v>421</v>
      </c>
      <c r="O77" s="13" t="str">
        <f t="shared" ref="O77:AC77" si="73">IF(AND($I77&lt;=O$4+6,$J77&gt;=O$4),IF(OR($C77="Milestone",$C77="Gate"),"◆","■"),"")</f>
        <v/>
      </c>
      <c r="P77" s="13" t="str">
        <f t="shared" si="73"/>
        <v/>
      </c>
      <c r="Q77" s="13" t="str">
        <f t="shared" si="73"/>
        <v/>
      </c>
      <c r="R77" s="13" t="str">
        <f t="shared" si="73"/>
        <v/>
      </c>
      <c r="S77" s="13" t="str">
        <f t="shared" si="73"/>
        <v/>
      </c>
      <c r="T77" s="13" t="str">
        <f t="shared" si="73"/>
        <v/>
      </c>
      <c r="U77" s="13" t="str">
        <f t="shared" si="73"/>
        <v/>
      </c>
      <c r="V77" s="13" t="str">
        <f t="shared" si="73"/>
        <v/>
      </c>
      <c r="W77" s="13" t="str">
        <f t="shared" si="73"/>
        <v/>
      </c>
      <c r="X77" s="13" t="str">
        <f t="shared" si="73"/>
        <v/>
      </c>
      <c r="Y77" s="13" t="str">
        <f t="shared" si="73"/>
        <v/>
      </c>
      <c r="Z77" s="13" t="str">
        <f t="shared" si="73"/>
        <v/>
      </c>
      <c r="AA77" s="13" t="str">
        <f t="shared" si="73"/>
        <v/>
      </c>
      <c r="AB77" s="13" t="str">
        <f t="shared" si="73"/>
        <v>■</v>
      </c>
      <c r="AC77" s="13" t="str">
        <f t="shared" si="73"/>
        <v/>
      </c>
    </row>
    <row r="78" ht="39.0" customHeight="1">
      <c r="A78" s="10" t="s">
        <v>422</v>
      </c>
      <c r="B78" s="10" t="s">
        <v>379</v>
      </c>
      <c r="C78" s="10" t="s">
        <v>186</v>
      </c>
      <c r="D78" s="10" t="s">
        <v>187</v>
      </c>
      <c r="E78" s="10" t="s">
        <v>423</v>
      </c>
      <c r="F78" s="10" t="s">
        <v>23</v>
      </c>
      <c r="G78" s="10" t="s">
        <v>24</v>
      </c>
      <c r="H78" s="11">
        <v>1.0</v>
      </c>
      <c r="I78" s="12">
        <v>46404.0</v>
      </c>
      <c r="J78" s="12">
        <v>46405.0</v>
      </c>
      <c r="K78" s="10" t="s">
        <v>424</v>
      </c>
      <c r="L78" s="10" t="s">
        <v>26</v>
      </c>
      <c r="M78" s="10" t="s">
        <v>425</v>
      </c>
      <c r="N78" s="10" t="s">
        <v>190</v>
      </c>
      <c r="O78" s="13" t="str">
        <f t="shared" ref="O78:AC78" si="74">IF(AND($I78&lt;=O$4+6,$J78&gt;=O$4),IF(OR($C78="Milestone",$C78="Gate"),"◆","■"),"")</f>
        <v/>
      </c>
      <c r="P78" s="13" t="str">
        <f t="shared" si="74"/>
        <v/>
      </c>
      <c r="Q78" s="13" t="str">
        <f t="shared" si="74"/>
        <v/>
      </c>
      <c r="R78" s="13" t="str">
        <f t="shared" si="74"/>
        <v/>
      </c>
      <c r="S78" s="13" t="str">
        <f t="shared" si="74"/>
        <v/>
      </c>
      <c r="T78" s="13" t="str">
        <f t="shared" si="74"/>
        <v/>
      </c>
      <c r="U78" s="13" t="str">
        <f t="shared" si="74"/>
        <v/>
      </c>
      <c r="V78" s="13" t="str">
        <f t="shared" si="74"/>
        <v/>
      </c>
      <c r="W78" s="13" t="str">
        <f t="shared" si="74"/>
        <v/>
      </c>
      <c r="X78" s="13" t="str">
        <f t="shared" si="74"/>
        <v/>
      </c>
      <c r="Y78" s="13" t="str">
        <f t="shared" si="74"/>
        <v/>
      </c>
      <c r="Z78" s="13" t="str">
        <f t="shared" si="74"/>
        <v/>
      </c>
      <c r="AA78" s="13" t="str">
        <f t="shared" si="74"/>
        <v/>
      </c>
      <c r="AB78" s="13" t="str">
        <f t="shared" si="74"/>
        <v>◆</v>
      </c>
      <c r="AC78" s="13" t="str">
        <f t="shared" si="74"/>
        <v>◆</v>
      </c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ht="22.5" customHeight="1">
      <c r="A81" s="15" t="s">
        <v>426</v>
      </c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22.5" customHeight="1">
      <c r="A82" s="17" t="s">
        <v>427</v>
      </c>
      <c r="B82" s="17" t="s">
        <v>428</v>
      </c>
      <c r="C82" s="17" t="s">
        <v>429</v>
      </c>
      <c r="D82" s="17" t="s">
        <v>430</v>
      </c>
      <c r="E82" s="17" t="s">
        <v>431</v>
      </c>
      <c r="F82" s="18"/>
      <c r="G82" s="17" t="s">
        <v>432</v>
      </c>
      <c r="H82" s="17" t="s">
        <v>433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ht="22.5" customHeight="1">
      <c r="A83" s="19" t="s">
        <v>23</v>
      </c>
      <c r="B83" s="19" t="s">
        <v>434</v>
      </c>
      <c r="C83" s="14">
        <f t="shared" ref="C83:C86" si="75">COUNTIF($F$5:$F$78,A83)</f>
        <v>22</v>
      </c>
      <c r="D83" s="14">
        <f t="shared" ref="D83:D86" si="76">SUMIF($F$5:$F$78,A83,$H$5:$H$78)</f>
        <v>87</v>
      </c>
      <c r="E83" s="20">
        <f t="shared" ref="E83:E86" si="77">D83/SUM($D$83:$D$86)</f>
        <v>0.25</v>
      </c>
      <c r="F83" s="14"/>
      <c r="G83" s="14">
        <f>MAX(D83:D86)-MIN(D83:D86)</f>
        <v>0</v>
      </c>
      <c r="H83" s="19" t="s">
        <v>435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ht="22.5" customHeight="1">
      <c r="A84" s="19" t="s">
        <v>39</v>
      </c>
      <c r="B84" s="19" t="s">
        <v>436</v>
      </c>
      <c r="C84" s="14">
        <f t="shared" si="75"/>
        <v>17</v>
      </c>
      <c r="D84" s="14">
        <f t="shared" si="76"/>
        <v>87</v>
      </c>
      <c r="E84" s="20">
        <f t="shared" si="77"/>
        <v>0.25</v>
      </c>
      <c r="F84" s="14"/>
      <c r="G84" s="19" t="s">
        <v>25</v>
      </c>
      <c r="H84" s="19" t="s">
        <v>25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ht="22.5" customHeight="1">
      <c r="A85" s="19" t="s">
        <v>32</v>
      </c>
      <c r="B85" s="19" t="s">
        <v>437</v>
      </c>
      <c r="C85" s="14">
        <f t="shared" si="75"/>
        <v>17</v>
      </c>
      <c r="D85" s="14">
        <f t="shared" si="76"/>
        <v>87</v>
      </c>
      <c r="E85" s="20">
        <f t="shared" si="77"/>
        <v>0.25</v>
      </c>
      <c r="F85" s="14"/>
      <c r="G85" s="19" t="s">
        <v>25</v>
      </c>
      <c r="H85" s="19" t="s">
        <v>25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ht="22.5" customHeight="1">
      <c r="A86" s="19" t="s">
        <v>46</v>
      </c>
      <c r="B86" s="19" t="s">
        <v>438</v>
      </c>
      <c r="C86" s="14">
        <f t="shared" si="75"/>
        <v>18</v>
      </c>
      <c r="D86" s="14">
        <f t="shared" si="76"/>
        <v>87</v>
      </c>
      <c r="E86" s="20">
        <f t="shared" si="77"/>
        <v>0.25</v>
      </c>
      <c r="F86" s="14"/>
      <c r="G86" s="19" t="s">
        <v>25</v>
      </c>
      <c r="H86" s="19" t="s">
        <v>25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ht="22.5" customHeight="1">
      <c r="A87" s="19" t="s">
        <v>439</v>
      </c>
      <c r="B87" s="19" t="s">
        <v>440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autoFilter ref="$A$4:$N$78"/>
  <mergeCells count="5">
    <mergeCell ref="A1:D1"/>
    <mergeCell ref="A2:D2"/>
    <mergeCell ref="A3:D3"/>
    <mergeCell ref="O3:AC3"/>
    <mergeCell ref="A81:D81"/>
  </mergeCells>
  <conditionalFormatting sqref="L5:L78">
    <cfRule type="expression" dxfId="0" priority="1" stopIfTrue="1">
      <formula>$L5="Blocked"</formula>
    </cfRule>
  </conditionalFormatting>
  <conditionalFormatting sqref="L5:L78">
    <cfRule type="expression" dxfId="1" priority="2" stopIfTrue="1">
      <formula>$L5="At risk"</formula>
    </cfRule>
  </conditionalFormatting>
  <conditionalFormatting sqref="L5:L78">
    <cfRule type="expression" dxfId="2" priority="3" stopIfTrue="1">
      <formula>$L5="In progress"</formula>
    </cfRule>
  </conditionalFormatting>
  <conditionalFormatting sqref="L5:L78">
    <cfRule type="expression" dxfId="3" priority="4" stopIfTrue="1">
      <formula>$L5="Completed"</formula>
    </cfRule>
  </conditionalFormatting>
  <conditionalFormatting sqref="O5:AC78">
    <cfRule type="expression" dxfId="4" priority="5" stopIfTrue="1">
      <formula>O5="◆"</formula>
    </cfRule>
  </conditionalFormatting>
  <conditionalFormatting sqref="O5:AC78">
    <cfRule type="expression" dxfId="5" priority="6" stopIfTrue="1">
      <formula>O5="■"</formula>
    </cfRule>
  </conditionalFormatting>
  <conditionalFormatting sqref="A5:N78">
    <cfRule type="expression" dxfId="6" priority="7" stopIfTrue="1">
      <formula>OR($C5="Milestone",$C5="Gate")</formula>
    </cfRule>
  </conditionalFormatting>
  <conditionalFormatting sqref="A5:N78">
    <cfRule type="expression" dxfId="7" priority="8" stopIfTrue="1">
      <formula>ISEVEN(ROW())</formula>
    </cfRule>
  </conditionalFormatting>
  <dataValidations>
    <dataValidation type="decimal" allowBlank="1" showDropDown="1" showErrorMessage="1" sqref="H5:H78">
      <formula1>1.0</formula1>
      <formula2>7.0</formula2>
    </dataValidation>
    <dataValidation type="list" allowBlank="1" showErrorMessage="1" sqref="L5:L78">
      <formula1>"Not started,In progress,Blocked,At risk,Completed"</formula1>
    </dataValidation>
    <dataValidation type="list" allowBlank="1" showErrorMessage="1" sqref="C5:C78">
      <formula1>"Task,Gate,Milestone"</formula1>
    </dataValidation>
    <dataValidation type="list" allowBlank="1" showErrorMessage="1" sqref="F5:F78">
      <formula1>"Shahriar Islam,Abdullah Bin Sorwar Choudhury,Syed Muhtasim Alam,Md. Irfan Iqbal"</formula1>
    </dataValidation>
  </dataValidations>
  <printOptions/>
  <pageMargins bottom="0.75" footer="0.0" header="0.0" left="0.7" right="0.7" top="0.75"/>
  <pageSetup orientation="landscape"/>
  <drawing r:id="rId1"/>
</worksheet>
</file>