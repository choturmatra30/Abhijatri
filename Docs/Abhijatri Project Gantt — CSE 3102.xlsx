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24c5e2b7f040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Gantt" sheetId="1" r:id="R96e39ccc728c417f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<x:sst xmlns:x="http://schemas.openxmlformats.org/spreadsheetml/2006/main">
  <x:si>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</x:si>
  <x:si>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Phase</x:t>
  </x:si>
  <x:si>
    <x:t xml:space="preserve">Type</x:t>
  </x:si>
  <x:si>
    <x:t xml:space="preserve">Workstream</x:t>
  </x:si>
  <x:si>
    <x:t xml:space="preserve">Task / Deliverable</x:t>
  </x:si>
  <x:si>
    <x:t xml:space="preserve">Primary Owner</x:t>
  </x:si>
  <x:si>
    <x:t xml:space="preserve">Support</x:t>
  </x:si>
  <x:si>
    <x:t xml:space="preserve">Effort</x:t>
  </x:si>
  <x:si>
    <x:t xml:space="preserve">Start</x:t>
  </x:si>
  <x:si>
    <x:t xml:space="preserve">End</x:t>
  </x:si>
  <x:si>
    <x:t xml:space="preserve">Depends On</x:t>
  </x:si>
  <x:si>
    <x:t xml:space="preserve">Status</x:t>
  </x:si>
  <x:si>
    <x:t xml:space="preserve">Acceptance / Evidence</x:t>
  </x:si>
  <x:si>
    <x:t xml:space="preserve">Risk / Notes</x:t>
  </x:si>
</x:sst>
</file>

<file path=xl/styles.xml><?xml version="1.0" encoding="utf-8"?>
<x:styleSheet xmlns:x="http://schemas.openxmlformats.org/spreadsheetml/2006/main">
  <x:numFmts count="4">
    <x:numFmt numFmtId="164" formatCode="dd mmm"/>
    <x:numFmt numFmtId="165" formatCode="dd mmm yyyy"/>
    <x:numFmt numFmtId="166" formatCode="0.0%"/>
    <x:numFmt numFmtId="200" formatCode="d mmm"/>
  </x:numFmts>
  <x:fonts count="16">
    <x:font>
      <x:sz val="11"/>
      <x:color rgb="FF000000"/>
      <x:name val="Carlito"/>
      <x:scheme val="minor"/>
    </x:font>
    <x:font>
      <x:b/>
      <x:sz val="16"/>
      <x:color rgb="FF113860"/>
      <x:name val="Arial"/>
    </x:font>
    <x:font>
      <x:b/>
      <x:sz val="18"/>
      <x:color rgb="FF113860"/>
      <x:name val="Arial"/>
    </x:font>
    <x:font>
      <x:sz val="10"/>
      <x:color rgb="FF596372"/>
      <x:name val="Arial"/>
    </x:font>
    <x:font>
      <x:i/>
      <x:sz val="9"/>
      <x:color rgb="FF3F4F60"/>
      <x:name val="Arial"/>
    </x:font>
    <x:font>
      <x:b/>
      <x:sz val="9"/>
      <x:color rgb="FFFFFFFF"/>
      <x:name val="Arial"/>
    </x:font>
    <x:font>
      <x:sz val="9"/>
      <x:color rgb="FF1E2838"/>
      <x:name val="Arial"/>
    </x:font>
    <x:font>
      <x:b/>
      <x:sz val="11"/>
      <x:color theme="1"/>
      <x:name val="Arial"/>
    </x:font>
    <x:font>
      <x:b/>
      <x:sz val="11"/>
      <x:color rgb="FFFFFFFF"/>
      <x:name val="Arial"/>
    </x:font>
    <x:font>
      <x:b/>
      <x:sz val="9"/>
      <x:color theme="1"/>
      <x:name val="Arial"/>
    </x:font>
    <x:font>
      <x:sz val="8"/>
      <x:color rgb="FF1E2838"/>
      <x:name val="Arial"/>
      <x:scheme val="minor"/>
    </x:font>
    <x:font>
      <x:b/>
      <x:sz val="8"/>
      <x:color rgb="FF5B4300"/>
      <x:name val="Arial"/>
      <x:scheme val="minor"/>
    </x:font>
    <x:font>
      <x:b/>
      <x:sz val="7"/>
      <x:color rgb="FF2F6F9F"/>
      <x:name val="Arial"/>
      <x:scheme val="minor"/>
    </x:font>
    <x:font>
      <x:b/>
      <x:sz val="11"/>
      <x:color rgb="FFFFFFFF"/>
      <x:name val="Arial"/>
      <x:scheme val="minor"/>
    </x:font>
    <x:font>
      <x:b/>
      <x:sz val="9"/>
      <x:color rgb="FF1E2838"/>
      <x:name val="Arial"/>
      <x:scheme val="minor"/>
    </x:font>
    <x:font>
      <x:sz val="9"/>
      <x:color rgb="FF1E2838"/>
      <x:name val="Arial"/>
      <x:scheme val="minor"/>
    </x:font>
  </x:fonts>
  <x:fills count="10">
    <x:fill>
      <x:patternFill patternType="none"/>
    </x:fill>
    <x:fill>
      <x:patternFill patternType="lightGray"/>
    </x:fill>
    <x:fill>
      <x:patternFill patternType="solid">
        <x:fgColor rgb="FFEFF4F9"/>
      </x:patternFill>
    </x:fill>
    <x:fill>
      <x:patternFill patternType="solid">
        <x:fgColor rgb="FF16385B"/>
      </x:patternFill>
    </x:fill>
    <x:fill>
      <x:patternFill patternType="solid">
        <x:fgColor rgb="FFE0EAF4"/>
      </x:patternFill>
    </x:fill>
    <x:fill>
      <x:patternFill patternType="solid">
        <x:fgColor rgb="FFFFFFFF"/>
      </x:patternFill>
    </x:fill>
    <x:fill>
      <x:patternFill patternType="solid">
        <x:fgColor rgb="FFF3F7FA"/>
      </x:patternFill>
    </x:fill>
    <x:fill>
      <x:patternFill patternType="solid">
        <x:fgColor rgb="FFFFF2CC"/>
      </x:patternFill>
    </x:fill>
    <x:fill>
      <x:patternFill patternType="solid">
        <x:fgColor rgb="FF16385B"/>
      </x:patternFill>
    </x:fill>
    <x:fill>
      <x:patternFill patternType="solid">
        <x:fgColor rgb="FFE0EAF4"/>
      </x:patternFill>
    </x:fill>
  </x:fills>
  <x:borders count="3">
    <x:border/>
    <x:border>
      <x:left style="thin">
        <x:color rgb="FFD1D8E0"/>
      </x:left>
      <x:right style="thin">
        <x:color rgb="FFD1D8E0"/>
      </x:right>
      <x:top style="thin">
        <x:color rgb="FFD1D8E0"/>
      </x:top>
      <x:bottom style="thin">
        <x:color rgb="FFD1D8E0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 applyFont="1" applyAlignment="1"/>
  </x:cellStyleXfs>
  <x:cellXfs count="59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>
      <x:alignment vertical="center" wrapText="1" shrinkToFit="0"/>
    </x:xf>
    <x:xf numFmtId="0" fontId="2" fillId="0" borderId="0" xfId="0" applyFont="1" applyAlignment="1">
      <x:alignment vertical="center" wrapText="1" shrinkToFit="0"/>
    </x:xf>
    <x:xf numFmtId="0" fontId="2" fillId="0" borderId="0" xfId="0" applyFont="1" applyAlignment="1">
      <x:alignment vertical="center" wrapText="1" shrinkToFit="0"/>
    </x:xf>
    <x:xf numFmtId="0" fontId="3" fillId="0" borderId="0" xfId="0" applyFont="1" applyAlignment="1">
      <x:alignment vertical="center" wrapText="1" shrinkToFit="0"/>
    </x:xf>
    <x:xf numFmtId="0" fontId="3" fillId="0" borderId="0" xfId="0" applyFont="1" applyAlignment="1">
      <x:alignment vertical="center" wrapText="1" shrinkToFit="0"/>
    </x:xf>
    <x:xf numFmtId="0" fontId="4" fillId="2" borderId="0" xfId="0" applyFont="1" applyFill="1" applyAlignment="1">
      <x:alignment vertical="center" wrapText="1" shrinkToFit="0"/>
    </x:xf>
    <x:xf numFmtId="0" fontId="4" fillId="2" borderId="0" xfId="0" applyFont="1" applyFill="1" applyAlignment="1">
      <x:alignment vertical="center" wrapText="1" shrinkToFit="0"/>
    </x:xf>
    <x:xf numFmtId="0" fontId="5" fillId="3" borderId="1" xfId="0" applyFont="1" applyFill="1" applyBorder="1" applyAlignment="1">
      <x:alignment horizontal="center" vertical="center" wrapText="1" shrinkToFit="0"/>
    </x:xf>
    <x:xf numFmtId="164" fontId="5" fillId="3" borderId="1" xfId="0" applyNumberFormat="1" applyFont="1" applyFill="1" applyBorder="1" applyAlignment="1">
      <x:alignment horizontal="center" vertical="center" wrapText="1" shrinkToFit="0"/>
    </x:xf>
    <x:xf numFmtId="0" fontId="6" fillId="0" borderId="1" xfId="0" applyFont="1" applyBorder="1" applyAlignment="1">
      <x:alignment vertical="center" wrapText="1" shrinkToFit="0"/>
    </x:xf>
    <x:xf numFmtId="0" fontId="6" fillId="0" borderId="1" xfId="0" applyFont="1" applyBorder="1" applyAlignment="1">
      <x:alignment horizontal="center" vertical="center" wrapText="1" shrinkToFit="0"/>
    </x:xf>
    <x:xf numFmtId="165" fontId="6" fillId="0" borderId="1" xfId="0" applyNumberFormat="1" applyFont="1" applyBorder="1" applyAlignment="1">
      <x:alignment horizontal="center" vertical="center" wrapText="1" shrinkToFit="0"/>
    </x:xf>
    <x:xf numFmtId="0" fontId="7" fillId="0" borderId="1" xfId="0" applyFont="1" applyBorder="1" applyAlignment="1">
      <x:alignment horizontal="center" vertical="center" wrapText="1" shrinkToFit="0"/>
    </x:xf>
    <x:xf numFmtId="0" fontId="6" fillId="0" borderId="0" xfId="0" applyFont="1" applyAlignment="1">
      <x:alignment vertical="center" wrapText="1" shrinkToFit="0"/>
    </x:xf>
    <x:xf numFmtId="0" fontId="8" fillId="3" borderId="0" xfId="0" applyFont="1" applyFill="1" applyAlignment="1">
      <x:alignment vertical="center" wrapText="1" shrinkToFit="0"/>
    </x:xf>
    <x:xf numFmtId="0" fontId="8" fillId="3" borderId="0" xfId="0" applyFont="1" applyFill="1" applyAlignment="1">
      <x:alignment vertical="center" wrapText="1" shrinkToFit="0"/>
    </x:xf>
    <x:xf numFmtId="0" fontId="9" fillId="4" borderId="0" xfId="0" applyFont="1" applyFill="1" applyAlignment="1">
      <x:alignment vertical="center" wrapText="1" shrinkToFit="0"/>
    </x:xf>
    <x:xf numFmtId="0" fontId="9" fillId="4" borderId="0" xfId="0" applyFont="1" applyFill="1" applyAlignment="1">
      <x:alignment vertical="center" wrapText="1" shrinkToFit="0"/>
    </x:xf>
    <x:xf numFmtId="0" fontId="6" fillId="0" borderId="0" xfId="0" applyFont="1" applyAlignment="1">
      <x:alignment vertical="center" wrapText="1" shrinkToFit="0"/>
    </x:xf>
    <x:xf numFmtId="166" fontId="6" fillId="0" borderId="0" xfId="0" applyNumberFormat="1" applyFont="1" applyAlignment="1">
      <x:alignment vertical="center" wrapText="1" shrinkToFit="0"/>
    </x:xf>
    <x:xf numFmtId="0" fontId="10" fillId="0" borderId="0" xfId="0" applyNumberFormat="1" applyFont="1" applyFill="1" applyBorder="1" applyAlignment="1">
      <x:alignment vertical="bottom" wrapText="0"/>
    </x:xf>
    <x:xf numFmtId="0" fontId="10" fillId="0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1"/>
    </x:xf>
    <x:xf numFmtId="0" fontId="10" fillId="0" borderId="2" xfId="0" applyNumberFormat="1" applyFont="1" applyFill="1" applyBorder="1" applyAlignment="1">
      <x:alignment vertical="center" wrapText="1"/>
    </x:xf>
    <x:xf numFmtId="0" fontId="10" fillId="0" borderId="2" xfId="0" applyNumberFormat="1" applyFont="1" applyFill="1" applyBorder="1" applyAlignment="1">
      <x:alignment horizontal="center" vertical="center" wrapText="1"/>
    </x:xf>
    <x:xf numFmtId="200" fontId="10" fillId="0" borderId="2" xfId="0" applyNumberFormat="1" applyFont="1" applyFill="1" applyBorder="1" applyAlignment="1">
      <x:alignment horizontal="center" vertical="center" wrapText="1"/>
    </x:xf>
    <x:xf numFmtId="0" fontId="10" fillId="5" borderId="2" xfId="0" applyNumberFormat="1" applyFont="1" applyFill="1" applyBorder="1" applyAlignment="1">
      <x:alignment vertical="center" wrapText="1"/>
    </x:xf>
    <x:xf numFmtId="0" fontId="10" fillId="5" borderId="2" xfId="0" applyNumberFormat="1" applyFont="1" applyFill="1" applyBorder="1" applyAlignment="1">
      <x:alignment horizontal="center" vertical="center" wrapText="1"/>
    </x:xf>
    <x:xf numFmtId="0" fontId="10" fillId="6" borderId="2" xfId="0" applyNumberFormat="1" applyFont="1" applyFill="1" applyBorder="1" applyAlignment="1">
      <x:alignment vertical="center" wrapText="1"/>
    </x:xf>
    <x:xf numFmtId="0" fontId="10" fillId="6" borderId="2" xfId="0" applyNumberFormat="1" applyFont="1" applyFill="1" applyBorder="1" applyAlignment="1">
      <x:alignment horizontal="center" vertical="center" wrapText="1"/>
    </x:xf>
    <x:xf numFmtId="0" fontId="10" fillId="7" borderId="2" xfId="0" applyNumberFormat="1" applyFont="1" applyFill="1" applyBorder="1" applyAlignment="1">
      <x:alignment vertical="center" wrapText="1"/>
    </x:xf>
    <x:xf numFmtId="0" fontId="10" fillId="7" borderId="2" xfId="0" applyNumberFormat="1" applyFont="1" applyFill="1" applyBorder="1" applyAlignment="1">
      <x:alignment horizontal="center" vertical="center" wrapText="1"/>
    </x:xf>
    <x:xf numFmtId="200" fontId="10" fillId="7" borderId="2" xfId="0" applyNumberFormat="1" applyFont="1" applyFill="1" applyBorder="1" applyAlignment="1">
      <x:alignment horizontal="center" vertical="center" wrapText="1"/>
    </x:xf>
    <x:xf numFmtId="0" fontId="11" fillId="7" borderId="2" xfId="0" applyNumberFormat="1" applyFont="1" applyFill="1" applyBorder="1" applyAlignment="1">
      <x:alignment vertical="center" wrapText="1"/>
    </x:xf>
    <x:xf numFmtId="0" fontId="11" fillId="7" borderId="2" xfId="0" applyNumberFormat="1" applyFont="1" applyFill="1" applyBorder="1" applyAlignment="1">
      <x:alignment horizontal="center" vertical="center" wrapText="1"/>
    </x:xf>
    <x:xf numFmtId="200" fontId="11" fillId="7" borderId="2" xfId="0" applyNumberFormat="1" applyFont="1" applyFill="1" applyBorder="1" applyAlignment="1">
      <x:alignment horizontal="center" vertical="center" wrapText="1"/>
    </x:xf>
    <x:xf numFmtId="0" fontId="12" fillId="5" borderId="2" xfId="0" applyNumberFormat="1" applyFont="1" applyFill="1" applyBorder="1" applyAlignment="1">
      <x:alignment horizontal="center" vertical="center" wrapText="1"/>
    </x:xf>
    <x:xf numFmtId="0" fontId="12" fillId="6" borderId="2" xfId="0" applyNumberFormat="1" applyFont="1" applyFill="1" applyBorder="1" applyAlignment="1">
      <x:alignment horizontal="center" vertical="center" wrapText="1"/>
    </x:xf>
    <x:xf numFmtId="0" fontId="12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bottom" wrapText="0"/>
    </x:xf>
    <x:xf numFmtId="0" fontId="13" fillId="8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4" fillId="9" borderId="0" xfId="0" applyNumberFormat="1" applyFont="1" applyFill="1" applyBorder="1" applyAlignment="1">
      <x:alignment vertical="bottom" wrapText="0"/>
    </x:xf>
    <x:xf numFmtId="0" fontId="15" fillId="0" borderId="0" xfId="0" applyNumberFormat="1" applyFont="1" applyFill="1" applyBorder="1" applyAlignment="1">
      <x:alignment vertical="bottom" wrapText="0"/>
    </x:xf>
    <x:xf numFmtId="0" fontId="15" fillId="0" borderId="0" xfId="0" applyNumberFormat="1" applyFont="1" applyFill="1" applyBorder="1" applyAlignment="1">
      <x:alignment vertical="bottom" wrapText="1"/>
    </x:xf>
    <x:xf numFmtId="0" fontId="15" fillId="0" borderId="0" xfId="0" applyNumberFormat="1" applyFont="1" applyFill="1" applyBorder="1" applyAlignment="1">
      <x:alignment horizontal="center" vertical="bottom" wrapText="1"/>
    </x:xf>
    <x:xf numFmtId="166" fontId="15" fillId="0" borderId="0" xfId="0" applyNumberFormat="1" applyFont="1" applyFill="1" applyBorder="1" applyAlignment="1">
      <x:alignment horizontal="center" vertical="bottom" wrapText="1"/>
    </x:xf>
    <x:xf numFmtId="0" fontId="13" fillId="8" borderId="2" xfId="0" applyNumberFormat="1" applyFont="1" applyFill="1" applyBorder="1" applyAlignment="1">
      <x:alignment vertical="bottom" wrapText="0"/>
    </x:xf>
    <x:xf numFmtId="0" fontId="14" fillId="9" borderId="2" xfId="0" applyNumberFormat="1" applyFont="1" applyFill="1" applyBorder="1" applyAlignment="1">
      <x:alignment vertical="bottom" wrapText="0"/>
    </x:xf>
    <x:xf numFmtId="0" fontId="15" fillId="0" borderId="2" xfId="0" applyNumberFormat="1" applyFont="1" applyFill="1" applyBorder="1" applyAlignment="1">
      <x:alignment vertical="bottom" wrapText="1"/>
    </x:xf>
    <x:xf numFmtId="0" fontId="15" fillId="0" borderId="2" xfId="0" applyNumberFormat="1" applyFont="1" applyFill="1" applyBorder="1" applyAlignment="1">
      <x:alignment horizontal="center" vertical="bottom" wrapText="1"/>
    </x:xf>
    <x:xf numFmtId="166" fontId="15" fillId="0" borderId="2" xfId="0" applyNumberFormat="1" applyFont="1" applyFill="1" applyBorder="1" applyAlignment="1">
      <x:alignment horizontal="center" vertical="bottom" wrapText="1"/>
    </x:xf>
    <x:xf numFmtId="0" fontId="0" fillId="0" borderId="2" xfId="0" applyNumberFormat="1" applyFont="1" applyFill="1" applyBorder="1" applyAlignment="1">
      <x:alignment vertical="bottom" wrapText="0"/>
    </x:xf>
    <x:xf numFmtId="0" fontId="13" fillId="8" borderId="2" xfId="0" applyNumberFormat="1" applyFont="1" applyFill="1" applyBorder="1" applyAlignment="1">
      <x:alignment vertical="bottom" wrapText="1"/>
    </x:xf>
    <x:xf numFmtId="0" fontId="13" fillId="8" borderId="0" xfId="0" applyNumberFormat="1" applyFont="1" applyFill="1" applyBorder="1" applyAlignment="1">
      <x:alignment vertical="bottom" wrapText="1"/>
    </x:xf>
    <x:xf numFmtId="0" fontId="14" fillId="9" borderId="2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0" fontId="0" fillId="0" borderId="2" xfId="0" applyNumberFormat="1" applyFont="1" applyFill="1" applyBorder="1" applyAlignment="1">
      <x:alignment vertical="bottom" wrapText="1"/>
    </x:xf>
  </x:cellXfs>
  <x:cellStyles count="1">
    <x:cellStyle name="Normal" xfId="0"/>
  </x:cellStyles>
  <x:dxfs count="8">
    <x:dxf>
      <x:font>
        <x:b/>
        <x:color rgb="FF990C0C"/>
      </x:font>
      <x:fill>
        <x:patternFill>
          <x:bgColor rgb="FFF9CCCC"/>
        </x:patternFill>
      </x:fill>
      <x:border/>
    </x:dxf>
    <x:dxf>
      <x:font>
        <x:b/>
        <x:color rgb="FF8C3F05"/>
      </x:font>
      <x:fill>
        <x:patternFill>
          <x:bgColor rgb="FFFFE5B2"/>
        </x:patternFill>
      </x:fill>
      <x:border/>
    </x:dxf>
    <x:dxf>
      <x:font>
        <x:b/>
        <x:color rgb="FF0C4793"/>
      </x:font>
      <x:fill>
        <x:patternFill>
          <x:bgColor rgb="FFCCE2F9"/>
        </x:patternFill>
      </x:fill>
      <x:border/>
    </x:dxf>
    <x:dxf>
      <x:font>
        <x:b/>
        <x:color rgb="FF115926"/>
      </x:font>
      <x:fill>
        <x:patternFill>
          <x:bgColor rgb="FFCCEFD3"/>
        </x:patternFill>
      </x:fill>
      <x:border/>
    </x:dxf>
    <x:dxf>
      <x:font>
        <x:b/>
        <x:color rgb="FF723305"/>
      </x:font>
      <x:fill>
        <x:patternFill>
          <x:bgColor rgb="FFFCD859"/>
        </x:patternFill>
      </x:fill>
      <x:border/>
    </x:dxf>
    <x:dxf>
      <x:font>
        <x:b/>
        <x:color rgb="FF0C4793"/>
      </x:font>
      <x:fill>
        <x:patternFill>
          <x:bgColor rgb="FFC6E0F9"/>
        </x:patternFill>
      </x:fill>
      <x:border/>
    </x:dxf>
    <x:dxf>
      <x:font>
        <x:b/>
        <x:color rgb="FF72470A"/>
      </x:font>
      <x:fill>
        <x:patternFill>
          <x:bgColor rgb="FFFFF4C6"/>
        </x:patternFill>
      </x:fill>
      <x:border/>
    </x:dxf>
    <x:dxf>
      <x:fill>
        <x:patternFill>
          <x:bgColor rgb="FFF8F9FB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ae132c850e4359" /><Relationship Type="http://schemas.openxmlformats.org/officeDocument/2006/relationships/theme" Target="/xl/theme/theme1.xml" Id="Rc1159878bcb24e48" /><Relationship Type="http://schemas.openxmlformats.org/officeDocument/2006/relationships/sharedStrings" Target="/xl/sharedStrings.xml" Id="R91761826b6f44f4e" /><Relationship Type="http://schemas.openxmlformats.org/officeDocument/2006/relationships/worksheet" Target="/xl/worksheets/sheet1.xml" Id="R96e39ccc728c417f" /></Relationships>
</file>

<file path=xl/tables/table1.xml><?xml version="1.0" encoding="utf-8"?>
<x:table xmlns:x="http://schemas.openxmlformats.org/spreadsheetml/2006/main" id="1" name="ExecutionGantt" displayName="ExecutionGantt" ref="A4:N98" headerRowCount="1" totalsRowCount="0" totalsRowShown="0">
  <x:autoFilter ref="A4:N98"/>
  <x:tableColumns count="14">
    <x:tableColumn id="1" name="ID"/>
    <x:tableColumn id="2" name="Phase"/>
    <x:tableColumn id="3" name="Type"/>
    <x:tableColumn id="4" name="Workstream"/>
    <x:tableColumn id="5" name="Task / Deliverable"/>
    <x:tableColumn id="6" name="Primary Owner"/>
    <x:tableColumn id="7" name="Support"/>
    <x:tableColumn id="8" name="Effort"/>
    <x:tableColumn id="9" name="Start"/>
    <x:tableColumn id="10" name="End"/>
    <x:tableColumn id="11" name="Depends On"/>
    <x:tableColumn id="12" name="Status"/>
    <x:tableColumn id="13" name="Acceptance / Evidence"/>
    <x:tableColumn id="14" name="Risk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ecdde117e10477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ColWidth="12.630000114440918" defaultRowHeight="15"/>
  <x:cols>
    <x:col min="1" max="1" width="7.380000114440918" customWidth="1"/>
    <x:col min="2" max="2" width="18.8799991607666" customWidth="1"/>
    <x:col min="3" max="3" width="10.380000114440918" customWidth="1"/>
    <x:col min="4" max="4" width="15.75" customWidth="1"/>
    <x:col min="5" max="5" width="37.630001068115234" customWidth="1"/>
    <x:col min="6" max="6" width="23.8799991607666" customWidth="1"/>
    <x:col min="7" max="7" width="22.6299991607666" customWidth="1"/>
    <x:col min="8" max="8" width="7.630000114440918" customWidth="1"/>
    <x:col min="9" max="10" width="11.630000114440918" customWidth="1"/>
    <x:col min="11" max="11" width="14.5" customWidth="1"/>
    <x:col min="12" max="12" width="12.630000114440918" customWidth="1"/>
    <x:col min="13" max="13" width="32.630001068115234" customWidth="1"/>
    <x:col min="14" max="14" width="26.3799991607666" customWidth="1"/>
    <x:col min="15" max="29" width="8.630000114440918" customWidth="1"/>
  </x:cols>
  <x:sheetData>
    <x:row r="1" ht="30" customHeight="1">
      <x:c r="A1" s="1" t="str">
        <x:v>Abhijatri: Execution Gantt Chart</x:v>
      </x:c>
      <x:c r="B1"/>
      <x:c r="C1"/>
      <x:c r="D1"/>
      <x:c r="E1" s="2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3" customHeight="1">
      <x:c r="A2" s="4" t="str">
        <x:v>CSE 3102 • ChoturMatra • M1: 2 Nov • Original core 50–60%: 7 Dec • Mandatory extensions: 8 Dec–3 Jan • Testing: 4–11 Jan • Final: 17/18 Jan</x:v>
      </x:c>
      <x:c r="B2"/>
      <x:c r="C2"/>
      <x:c r="D2"/>
      <x:c r="E2" s="4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</x:row>
    <x:row r="3" ht="33" customHeight="1">
      <x:c r="A3" s="6" t="str">
        <x:v>Fixed milestone dates; all listed modules are mandatory. Early completion is allowed. Primary effort is balanced by role.</x:v>
      </x:c>
      <x:c r="B3"/>
      <x:c r="C3"/>
      <x:c r="D3"/>
      <x:c r="E3" s="6"/>
      <x:c r="F3" s="7"/>
      <x:c r="G3" s="7"/>
      <x:c r="H3" s="7"/>
      <x:c r="I3" s="7"/>
      <x:c r="J3" s="7"/>
      <x:c r="K3" s="7"/>
      <x:c r="L3" s="7"/>
      <x:c r="M3" s="7"/>
      <x:c r="N3" s="7"/>
      <x:c r="O3" s="6"/>
      <x:c r="P3"/>
      <x:c r="Q3"/>
      <x:c r="R3"/>
      <x:c r="S3"/>
      <x:c r="T3"/>
      <x:c r="U3"/>
      <x:c r="V3"/>
      <x:c r="W3"/>
      <x:c r="X3"/>
      <x:c r="Y3"/>
      <x:c r="Z3"/>
      <x:c r="AA3"/>
      <x:c r="AB3"/>
      <x:c r="AC3"/>
    </x:row>
    <x:row r="4" ht="36" customHeight="1">
      <x:c r="A4" s="8" t="s">
        <x:v>0</x:v>
      </x:c>
      <x:c r="B4" s="8" t="s">
        <x:v>1</x:v>
      </x:c>
      <x:c r="C4" s="8" t="s">
        <x:v>2</x:v>
      </x:c>
      <x:c r="D4" s="8" t="s">
        <x:v>3</x:v>
      </x:c>
      <x:c r="E4" s="8" t="s">
        <x:v>4</x:v>
      </x:c>
      <x:c r="F4" s="8" t="s">
        <x:v>5</x:v>
      </x:c>
      <x:c r="G4" s="8" t="s">
        <x:v>6</x:v>
      </x:c>
      <x:c r="H4" s="8" t="s">
        <x:v>7</x:v>
      </x:c>
      <x:c r="I4" s="8" t="s">
        <x:v>8</x:v>
      </x:c>
      <x:c r="J4" s="8" t="s">
        <x:v>9</x:v>
      </x:c>
      <x:c r="K4" s="8" t="s">
        <x:v>10</x:v>
      </x:c>
      <x:c r="L4" s="8" t="s">
        <x:v>11</x:v>
      </x:c>
      <x:c r="M4" s="8" t="s">
        <x:v>12</x:v>
      </x:c>
      <x:c r="N4" s="8" t="s">
        <x:v>13</x:v>
      </x:c>
      <x:c r="O4" s="9">
        <x:v>46307.0</x:v>
      </x:c>
      <x:c r="P4" s="9">
        <x:v>46314.0</x:v>
      </x:c>
      <x:c r="Q4" s="9">
        <x:v>46321.0</x:v>
      </x:c>
      <x:c r="R4" s="9">
        <x:v>46328.0</x:v>
      </x:c>
      <x:c r="S4" s="9">
        <x:v>46335.0</x:v>
      </x:c>
      <x:c r="T4" s="9">
        <x:v>46342.0</x:v>
      </x:c>
      <x:c r="U4" s="9">
        <x:v>46349.0</x:v>
      </x:c>
      <x:c r="V4" s="9">
        <x:v>46356.0</x:v>
      </x:c>
      <x:c r="W4" s="9">
        <x:v>46363.0</x:v>
      </x:c>
      <x:c r="X4" s="9">
        <x:v>46370.0</x:v>
      </x:c>
      <x:c r="Y4" s="9">
        <x:v>46377.0</x:v>
      </x:c>
      <x:c r="Z4" s="9">
        <x:v>46384.0</x:v>
      </x:c>
      <x:c r="AA4" s="9">
        <x:v>46391.0</x:v>
      </x:c>
      <x:c r="AB4" s="9">
        <x:v>46398.0</x:v>
      </x:c>
      <x:c r="AC4" s="9">
        <x:v>46405.0</x:v>
      </x:c>
    </x:row>
    <x:row r="5" ht="34" customHeight="1">
      <x:c r="A5" s="24" t="str">
        <x:v>F01</x:v>
      </x:c>
      <x:c r="B5" s="24" t="str">
        <x:v>Foundation</x:v>
      </x:c>
      <x:c r="C5" s="24" t="str">
        <x:v>Task</x:v>
      </x:c>
      <x:c r="D5" s="24" t="str">
        <x:v>Scope</x:v>
      </x:c>
      <x:c r="E5" s="24" t="str">
        <x:v>Freeze first-release scope and acceptance gates</x:v>
      </x:c>
      <x:c r="F5" s="24" t="str">
        <x:v>Shahriar Islam</x:v>
      </x:c>
      <x:c r="G5" s="24" t="str">
        <x:v>All</x:v>
      </x:c>
      <x:c r="H5" s="25" t="n">
        <x:v>4</x:v>
      </x:c>
      <x:c r="I5" s="26" t="n">
        <x:v>46307</x:v>
      </x:c>
      <x:c r="J5" s="26" t="n">
        <x:v>46308</x:v>
      </x:c>
      <x:c r="K5" s="24" t="str"/>
      <x:c r="L5" s="24" t="str">
        <x:v>Not started</x:v>
      </x:c>
      <x:c r="M5" s="24" t="str">
        <x:v>Approved scope and definition of done</x:v>
      </x:c>
      <x:c r="N5" s="24" t="str">
        <x:v>Do not add cost estimator before M1</x:v>
      </x:c>
      <x:c r="O5" s="37" t="str">
        <x:f t="shared" ref="O5:AC5" si="1">IF(AND($I5&lt;=O$4+6,$J5&gt;=O$4),IF(OR($C5="Milestone",$C5="Gate"),"◆","■"),"")</x:f>
        <x:v>■</x:v>
      </x:c>
      <x:c r="P5" s="37" t="str">
        <x:f t="shared" si="1">IF(AND($I5&lt;=P$4+6,$J5&gt;=P$4),IF(OR($C5="Milestone",$C5="Gate"),"◆","■"),"")</x:f>
      </x:c>
      <x:c r="Q5" s="37" t="str">
        <x:f t="shared" si="1">IF(AND($I5&lt;=Q$4+6,$J5&gt;=Q$4),IF(OR($C5="Milestone",$C5="Gate"),"◆","■"),"")</x:f>
      </x:c>
      <x:c r="R5" s="37" t="str">
        <x:f t="shared" si="1">IF(AND($I5&lt;=R$4+6,$J5&gt;=R$4),IF(OR($C5="Milestone",$C5="Gate"),"◆","■"),"")</x:f>
      </x:c>
      <x:c r="S5" s="37" t="str">
        <x:f t="shared" si="1">IF(AND($I5&lt;=S$4+6,$J5&gt;=S$4),IF(OR($C5="Milestone",$C5="Gate"),"◆","■"),"")</x:f>
      </x:c>
      <x:c r="T5" s="37" t="str">
        <x:f t="shared" si="1">IF(AND($I5&lt;=T$4+6,$J5&gt;=T$4),IF(OR($C5="Milestone",$C5="Gate"),"◆","■"),"")</x:f>
      </x:c>
      <x:c r="U5" s="37" t="str">
        <x:f t="shared" si="1">IF(AND($I5&lt;=U$4+6,$J5&gt;=U$4),IF(OR($C5="Milestone",$C5="Gate"),"◆","■"),"")</x:f>
      </x:c>
      <x:c r="V5" s="37" t="str">
        <x:f t="shared" si="1">IF(AND($I5&lt;=V$4+6,$J5&gt;=V$4),IF(OR($C5="Milestone",$C5="Gate"),"◆","■"),"")</x:f>
      </x:c>
      <x:c r="W5" s="37" t="str">
        <x:f t="shared" si="1">IF(AND($I5&lt;=W$4+6,$J5&gt;=W$4),IF(OR($C5="Milestone",$C5="Gate"),"◆","■"),"")</x:f>
      </x:c>
      <x:c r="X5" s="37" t="str">
        <x:f t="shared" si="1">IF(AND($I5&lt;=X$4+6,$J5&gt;=X$4),IF(OR($C5="Milestone",$C5="Gate"),"◆","■"),"")</x:f>
      </x:c>
      <x:c r="Y5" s="37" t="str">
        <x:f t="shared" si="1">IF(AND($I5&lt;=Y$4+6,$J5&gt;=Y$4),IF(OR($C5="Milestone",$C5="Gate"),"◆","■"),"")</x:f>
      </x:c>
      <x:c r="Z5" s="37" t="str">
        <x:f t="shared" si="1">IF(AND($I5&lt;=Z$4+6,$J5&gt;=Z$4),IF(OR($C5="Milestone",$C5="Gate"),"◆","■"),"")</x:f>
      </x:c>
      <x:c r="AA5" s="37" t="str">
        <x:f t="shared" si="1">IF(AND($I5&lt;=AA$4+6,$J5&gt;=AA$4),IF(OR($C5="Milestone",$C5="Gate"),"◆","■"),"")</x:f>
      </x:c>
      <x:c r="AB5" s="37" t="str">
        <x:f t="shared" si="1">IF(AND($I5&lt;=AB$4+6,$J5&gt;=AB$4),IF(OR($C5="Milestone",$C5="Gate"),"◆","■"),"")</x:f>
      </x:c>
      <x:c r="AC5" s="37" t="str">
        <x:f t="shared" si="1">IF(AND($I5&lt;=AC$4+6,$J5&gt;=AC$4),IF(OR($C5="Milestone",$C5="Gate"),"◆","■"),"")</x:f>
      </x:c>
    </x:row>
    <x:row r="6" ht="34" customHeight="1">
      <x:c r="A6" s="24" t="str">
        <x:v>F02</x:v>
      </x:c>
      <x:c r="B6" s="24" t="str">
        <x:v>Foundation</x:v>
      </x:c>
      <x:c r="C6" s="24" t="str">
        <x:v>Task</x:v>
      </x:c>
      <x:c r="D6" s="24" t="str">
        <x:v>Architecture</x:v>
      </x:c>
      <x:c r="E6" s="24" t="str">
        <x:v>Define architecture, database schema and API contract</x:v>
      </x:c>
      <x:c r="F6" s="24" t="str">
        <x:v>Syed Muhtasim Alam</x:v>
      </x:c>
      <x:c r="G6" s="24" t="str">
        <x:v>Abdullah, Shahriar</x:v>
      </x:c>
      <x:c r="H6" s="25" t="n">
        <x:v>6</x:v>
      </x:c>
      <x:c r="I6" s="26" t="n">
        <x:v>46307</x:v>
      </x:c>
      <x:c r="J6" s="26" t="n">
        <x:v>46309</x:v>
      </x:c>
      <x:c r="K6" s="24" t="str">
        <x:v>F01</x:v>
      </x:c>
      <x:c r="L6" s="24" t="str">
        <x:v>Not started</x:v>
      </x:c>
      <x:c r="M6" s="24" t="str">
        <x:v>Versioned API contract and ERD reviewed</x:v>
      </x:c>
      <x:c r="N6" s="24" t="str">
        <x:v>Resolve auth/offline boundaries early</x:v>
      </x:c>
      <x:c r="O6" s="38" t="str">
        <x:f t="shared" ref="O6:AC6" si="2">IF(AND($I6&lt;=O$4+6,$J6&gt;=O$4),IF(OR($C6="Milestone",$C6="Gate"),"◆","■"),"")</x:f>
        <x:v>■</x:v>
      </x:c>
      <x:c r="P6" s="38" t="str">
        <x:f t="shared" si="2">IF(AND($I6&lt;=P$4+6,$J6&gt;=P$4),IF(OR($C6="Milestone",$C6="Gate"),"◆","■"),"")</x:f>
      </x:c>
      <x:c r="Q6" s="38" t="str">
        <x:f t="shared" si="2">IF(AND($I6&lt;=Q$4+6,$J6&gt;=Q$4),IF(OR($C6="Milestone",$C6="Gate"),"◆","■"),"")</x:f>
      </x:c>
      <x:c r="R6" s="38" t="str">
        <x:f t="shared" si="2">IF(AND($I6&lt;=R$4+6,$J6&gt;=R$4),IF(OR($C6="Milestone",$C6="Gate"),"◆","■"),"")</x:f>
      </x:c>
      <x:c r="S6" s="38" t="str">
        <x:f t="shared" si="2">IF(AND($I6&lt;=S$4+6,$J6&gt;=S$4),IF(OR($C6="Milestone",$C6="Gate"),"◆","■"),"")</x:f>
      </x:c>
      <x:c r="T6" s="38" t="str">
        <x:f t="shared" si="2">IF(AND($I6&lt;=T$4+6,$J6&gt;=T$4),IF(OR($C6="Milestone",$C6="Gate"),"◆","■"),"")</x:f>
      </x:c>
      <x:c r="U6" s="38" t="str">
        <x:f t="shared" si="2">IF(AND($I6&lt;=U$4+6,$J6&gt;=U$4),IF(OR($C6="Milestone",$C6="Gate"),"◆","■"),"")</x:f>
      </x:c>
      <x:c r="V6" s="38" t="str">
        <x:f t="shared" si="2">IF(AND($I6&lt;=V$4+6,$J6&gt;=V$4),IF(OR($C6="Milestone",$C6="Gate"),"◆","■"),"")</x:f>
      </x:c>
      <x:c r="W6" s="38" t="str">
        <x:f t="shared" si="2">IF(AND($I6&lt;=W$4+6,$J6&gt;=W$4),IF(OR($C6="Milestone",$C6="Gate"),"◆","■"),"")</x:f>
      </x:c>
      <x:c r="X6" s="38" t="str">
        <x:f t="shared" si="2">IF(AND($I6&lt;=X$4+6,$J6&gt;=X$4),IF(OR($C6="Milestone",$C6="Gate"),"◆","■"),"")</x:f>
      </x:c>
      <x:c r="Y6" s="38" t="str">
        <x:f t="shared" si="2">IF(AND($I6&lt;=Y$4+6,$J6&gt;=Y$4),IF(OR($C6="Milestone",$C6="Gate"),"◆","■"),"")</x:f>
      </x:c>
      <x:c r="Z6" s="38" t="str">
        <x:f t="shared" si="2">IF(AND($I6&lt;=Z$4+6,$J6&gt;=Z$4),IF(OR($C6="Milestone",$C6="Gate"),"◆","■"),"")</x:f>
      </x:c>
      <x:c r="AA6" s="38" t="str">
        <x:f t="shared" si="2">IF(AND($I6&lt;=AA$4+6,$J6&gt;=AA$4),IF(OR($C6="Milestone",$C6="Gate"),"◆","■"),"")</x:f>
      </x:c>
      <x:c r="AB6" s="38" t="str">
        <x:f t="shared" si="2">IF(AND($I6&lt;=AB$4+6,$J6&gt;=AB$4),IF(OR($C6="Milestone",$C6="Gate"),"◆","■"),"")</x:f>
      </x:c>
      <x:c r="AC6" s="38" t="str">
        <x:f t="shared" si="2">IF(AND($I6&lt;=AC$4+6,$J6&gt;=AC$4),IF(OR($C6="Milestone",$C6="Gate"),"◆","■"),"")</x:f>
      </x:c>
    </x:row>
    <x:row r="7" ht="34" customHeight="1">
      <x:c r="A7" s="24" t="str">
        <x:v>F03</x:v>
      </x:c>
      <x:c r="B7" s="24" t="str">
        <x:v>Foundation</x:v>
      </x:c>
      <x:c r="C7" s="24" t="str">
        <x:v>Task</x:v>
      </x:c>
      <x:c r="D7" s="24" t="str">
        <x:v>UX and i18n</x:v>
      </x:c>
      <x:c r="E7" s="24" t="str">
        <x:v>Create bilingual information architecture and UI component plan</x:v>
      </x:c>
      <x:c r="F7" s="24" t="str">
        <x:v>Abdullah Bin Sorwar Choudhury</x:v>
      </x:c>
      <x:c r="G7" s="24" t="str">
        <x:v>Shahriar</x:v>
      </x:c>
      <x:c r="H7" s="25" t="n">
        <x:v>4</x:v>
      </x:c>
      <x:c r="I7" s="26" t="n">
        <x:v>46307</x:v>
      </x:c>
      <x:c r="J7" s="26" t="n">
        <x:v>46309</x:v>
      </x:c>
      <x:c r="K7" s="24" t="str">
        <x:v>F01</x:v>
      </x:c>
      <x:c r="L7" s="24" t="str">
        <x:v>Not started</x:v>
      </x:c>
      <x:c r="M7" s="24" t="str">
        <x:v>Bangla-default flows and component map approved</x:v>
      </x:c>
      <x:c r="N7" s="24" t="str">
        <x:v>Use system font fallback</x:v>
      </x:c>
      <x:c r="O7" s="37" t="str">
        <x:f t="shared" ref="O7:AC7" si="3">IF(AND($I7&lt;=O$4+6,$J7&gt;=O$4),IF(OR($C7="Milestone",$C7="Gate"),"◆","■"),"")</x:f>
        <x:v>■</x:v>
      </x:c>
      <x:c r="P7" s="37" t="str">
        <x:f t="shared" si="3">IF(AND($I7&lt;=P$4+6,$J7&gt;=P$4),IF(OR($C7="Milestone",$C7="Gate"),"◆","■"),"")</x:f>
      </x:c>
      <x:c r="Q7" s="37" t="str">
        <x:f t="shared" si="3">IF(AND($I7&lt;=Q$4+6,$J7&gt;=Q$4),IF(OR($C7="Milestone",$C7="Gate"),"◆","■"),"")</x:f>
      </x:c>
      <x:c r="R7" s="37" t="str">
        <x:f t="shared" si="3">IF(AND($I7&lt;=R$4+6,$J7&gt;=R$4),IF(OR($C7="Milestone",$C7="Gate"),"◆","■"),"")</x:f>
      </x:c>
      <x:c r="S7" s="37" t="str">
        <x:f t="shared" si="3">IF(AND($I7&lt;=S$4+6,$J7&gt;=S$4),IF(OR($C7="Milestone",$C7="Gate"),"◆","■"),"")</x:f>
      </x:c>
      <x:c r="T7" s="37" t="str">
        <x:f t="shared" si="3">IF(AND($I7&lt;=T$4+6,$J7&gt;=T$4),IF(OR($C7="Milestone",$C7="Gate"),"◆","■"),"")</x:f>
      </x:c>
      <x:c r="U7" s="37" t="str">
        <x:f t="shared" si="3">IF(AND($I7&lt;=U$4+6,$J7&gt;=U$4),IF(OR($C7="Milestone",$C7="Gate"),"◆","■"),"")</x:f>
      </x:c>
      <x:c r="V7" s="37" t="str">
        <x:f t="shared" si="3">IF(AND($I7&lt;=V$4+6,$J7&gt;=V$4),IF(OR($C7="Milestone",$C7="Gate"),"◆","■"),"")</x:f>
      </x:c>
      <x:c r="W7" s="37" t="str">
        <x:f t="shared" si="3">IF(AND($I7&lt;=W$4+6,$J7&gt;=W$4),IF(OR($C7="Milestone",$C7="Gate"),"◆","■"),"")</x:f>
      </x:c>
      <x:c r="X7" s="37" t="str">
        <x:f t="shared" si="3">IF(AND($I7&lt;=X$4+6,$J7&gt;=X$4),IF(OR($C7="Milestone",$C7="Gate"),"◆","■"),"")</x:f>
      </x:c>
      <x:c r="Y7" s="37" t="str">
        <x:f t="shared" si="3">IF(AND($I7&lt;=Y$4+6,$J7&gt;=Y$4),IF(OR($C7="Milestone",$C7="Gate"),"◆","■"),"")</x:f>
      </x:c>
      <x:c r="Z7" s="37" t="str">
        <x:f t="shared" si="3">IF(AND($I7&lt;=Z$4+6,$J7&gt;=Z$4),IF(OR($C7="Milestone",$C7="Gate"),"◆","■"),"")</x:f>
      </x:c>
      <x:c r="AA7" s="37" t="str">
        <x:f t="shared" si="3">IF(AND($I7&lt;=AA$4+6,$J7&gt;=AA$4),IF(OR($C7="Milestone",$C7="Gate"),"◆","■"),"")</x:f>
      </x:c>
      <x:c r="AB7" s="37" t="str">
        <x:f t="shared" si="3">IF(AND($I7&lt;=AB$4+6,$J7&gt;=AB$4),IF(OR($C7="Milestone",$C7="Gate"),"◆","■"),"")</x:f>
      </x:c>
      <x:c r="AC7" s="37" t="str">
        <x:f t="shared" si="3">IF(AND($I7&lt;=AC$4+6,$J7&gt;=AC$4),IF(OR($C7="Milestone",$C7="Gate"),"◆","■"),"")</x:f>
      </x:c>
    </x:row>
    <x:row r="8" ht="34" customHeight="1">
      <x:c r="A8" s="24" t="str">
        <x:v>F04</x:v>
      </x:c>
      <x:c r="B8" s="24" t="str">
        <x:v>Foundation</x:v>
      </x:c>
      <x:c r="C8" s="24" t="str">
        <x:v>Task</x:v>
      </x:c>
      <x:c r="D8" s="24" t="str">
        <x:v>Quality</x:v>
      </x:c>
      <x:c r="E8" s="24" t="str">
        <x:v>Create master test plan and requirement traceability matrix</x:v>
      </x:c>
      <x:c r="F8" s="24" t="str">
        <x:v>Md. Irfan Iqbal</x:v>
      </x:c>
      <x:c r="G8" s="24" t="str">
        <x:v>All</x:v>
      </x:c>
      <x:c r="H8" s="25" t="n">
        <x:v>4</x:v>
      </x:c>
      <x:c r="I8" s="26" t="n">
        <x:v>46307</x:v>
      </x:c>
      <x:c r="J8" s="26" t="n">
        <x:v>46310</x:v>
      </x:c>
      <x:c r="K8" s="24" t="str">
        <x:v>F01</x:v>
      </x:c>
      <x:c r="L8" s="24" t="str">
        <x:v>Not started</x:v>
      </x:c>
      <x:c r="M8" s="24" t="str">
        <x:v>Every M1 requirement mapped to test IDs</x:v>
      </x:c>
      <x:c r="N8" s="24" t="str">
        <x:v>Include offline and role tests</x:v>
      </x:c>
      <x:c r="O8" s="38" t="str">
        <x:f t="shared" ref="O8:AC8" si="4">IF(AND($I8&lt;=O$4+6,$J8&gt;=O$4),IF(OR($C8="Milestone",$C8="Gate"),"◆","■"),"")</x:f>
        <x:v>■</x:v>
      </x:c>
      <x:c r="P8" s="38" t="str">
        <x:f t="shared" si="4">IF(AND($I8&lt;=P$4+6,$J8&gt;=P$4),IF(OR($C8="Milestone",$C8="Gate"),"◆","■"),"")</x:f>
      </x:c>
      <x:c r="Q8" s="38" t="str">
        <x:f t="shared" si="4">IF(AND($I8&lt;=Q$4+6,$J8&gt;=Q$4),IF(OR($C8="Milestone",$C8="Gate"),"◆","■"),"")</x:f>
      </x:c>
      <x:c r="R8" s="38" t="str">
        <x:f t="shared" si="4">IF(AND($I8&lt;=R$4+6,$J8&gt;=R$4),IF(OR($C8="Milestone",$C8="Gate"),"◆","■"),"")</x:f>
      </x:c>
      <x:c r="S8" s="38" t="str">
        <x:f t="shared" si="4">IF(AND($I8&lt;=S$4+6,$J8&gt;=S$4),IF(OR($C8="Milestone",$C8="Gate"),"◆","■"),"")</x:f>
      </x:c>
      <x:c r="T8" s="38" t="str">
        <x:f t="shared" si="4">IF(AND($I8&lt;=T$4+6,$J8&gt;=T$4),IF(OR($C8="Milestone",$C8="Gate"),"◆","■"),"")</x:f>
      </x:c>
      <x:c r="U8" s="38" t="str">
        <x:f t="shared" si="4">IF(AND($I8&lt;=U$4+6,$J8&gt;=U$4),IF(OR($C8="Milestone",$C8="Gate"),"◆","■"),"")</x:f>
      </x:c>
      <x:c r="V8" s="38" t="str">
        <x:f t="shared" si="4">IF(AND($I8&lt;=V$4+6,$J8&gt;=V$4),IF(OR($C8="Milestone",$C8="Gate"),"◆","■"),"")</x:f>
      </x:c>
      <x:c r="W8" s="38" t="str">
        <x:f t="shared" si="4">IF(AND($I8&lt;=W$4+6,$J8&gt;=W$4),IF(OR($C8="Milestone",$C8="Gate"),"◆","■"),"")</x:f>
      </x:c>
      <x:c r="X8" s="38" t="str">
        <x:f t="shared" si="4">IF(AND($I8&lt;=X$4+6,$J8&gt;=X$4),IF(OR($C8="Milestone",$C8="Gate"),"◆","■"),"")</x:f>
      </x:c>
      <x:c r="Y8" s="38" t="str">
        <x:f t="shared" si="4">IF(AND($I8&lt;=Y$4+6,$J8&gt;=Y$4),IF(OR($C8="Milestone",$C8="Gate"),"◆","■"),"")</x:f>
      </x:c>
      <x:c r="Z8" s="38" t="str">
        <x:f t="shared" si="4">IF(AND($I8&lt;=Z$4+6,$J8&gt;=Z$4),IF(OR($C8="Milestone",$C8="Gate"),"◆","■"),"")</x:f>
      </x:c>
      <x:c r="AA8" s="38" t="str">
        <x:f t="shared" si="4">IF(AND($I8&lt;=AA$4+6,$J8&gt;=AA$4),IF(OR($C8="Milestone",$C8="Gate"),"◆","■"),"")</x:f>
      </x:c>
      <x:c r="AB8" s="38" t="str">
        <x:f t="shared" si="4">IF(AND($I8&lt;=AB$4+6,$J8&gt;=AB$4),IF(OR($C8="Milestone",$C8="Gate"),"◆","■"),"")</x:f>
      </x:c>
      <x:c r="AC8" s="38" t="str">
        <x:f t="shared" si="4">IF(AND($I8&lt;=AC$4+6,$J8&gt;=AC$4),IF(OR($C8="Milestone",$C8="Gate"),"◆","■"),"")</x:f>
      </x:c>
    </x:row>
    <x:row r="9" ht="34" customHeight="1">
      <x:c r="A9" s="24" t="str">
        <x:v>F05</x:v>
      </x:c>
      <x:c r="B9" s="24" t="str">
        <x:v>Foundation</x:v>
      </x:c>
      <x:c r="C9" s="24" t="str">
        <x:v>Task</x:v>
      </x:c>
      <x:c r="D9" s="24" t="str">
        <x:v>Content</x:v>
      </x:c>
      <x:c r="E9" s="24" t="str">
        <x:v>Define source/date/licence template for destinations</x:v>
      </x:c>
      <x:c r="F9" s="24" t="str">
        <x:v>Shahriar Islam</x:v>
      </x:c>
      <x:c r="G9" s="24" t="str">
        <x:v>Irfan</x:v>
      </x:c>
      <x:c r="H9" s="25" t="n">
        <x:v>3</x:v>
      </x:c>
      <x:c r="I9" s="26" t="n">
        <x:v>46307</x:v>
      </x:c>
      <x:c r="J9" s="26" t="n">
        <x:v>46309</x:v>
      </x:c>
      <x:c r="K9" s="24" t="str">
        <x:v>F01</x:v>
      </x:c>
      <x:c r="L9" s="24" t="str">
        <x:v>Not started</x:v>
      </x:c>
      <x:c r="M9" s="24" t="str">
        <x:v>Template captures source, date, language and licence</x:v>
      </x:c>
      <x:c r="N9" s="24" t="str">
        <x:v>No scraped images</x:v>
      </x:c>
      <x:c r="O9" s="37" t="str">
        <x:f t="shared" ref="O9:AC9" si="5">IF(AND($I9&lt;=O$4+6,$J9&gt;=O$4),IF(OR($C9="Milestone",$C9="Gate"),"◆","■"),"")</x:f>
        <x:v>■</x:v>
      </x:c>
      <x:c r="P9" s="37" t="str">
        <x:f t="shared" si="5">IF(AND($I9&lt;=P$4+6,$J9&gt;=P$4),IF(OR($C9="Milestone",$C9="Gate"),"◆","■"),"")</x:f>
      </x:c>
      <x:c r="Q9" s="37" t="str">
        <x:f t="shared" si="5">IF(AND($I9&lt;=Q$4+6,$J9&gt;=Q$4),IF(OR($C9="Milestone",$C9="Gate"),"◆","■"),"")</x:f>
      </x:c>
      <x:c r="R9" s="37" t="str">
        <x:f t="shared" si="5">IF(AND($I9&lt;=R$4+6,$J9&gt;=R$4),IF(OR($C9="Milestone",$C9="Gate"),"◆","■"),"")</x:f>
      </x:c>
      <x:c r="S9" s="37" t="str">
        <x:f t="shared" si="5">IF(AND($I9&lt;=S$4+6,$J9&gt;=S$4),IF(OR($C9="Milestone",$C9="Gate"),"◆","■"),"")</x:f>
      </x:c>
      <x:c r="T9" s="37" t="str">
        <x:f t="shared" si="5">IF(AND($I9&lt;=T$4+6,$J9&gt;=T$4),IF(OR($C9="Milestone",$C9="Gate"),"◆","■"),"")</x:f>
      </x:c>
      <x:c r="U9" s="37" t="str">
        <x:f t="shared" si="5">IF(AND($I9&lt;=U$4+6,$J9&gt;=U$4),IF(OR($C9="Milestone",$C9="Gate"),"◆","■"),"")</x:f>
      </x:c>
      <x:c r="V9" s="37" t="str">
        <x:f t="shared" si="5">IF(AND($I9&lt;=V$4+6,$J9&gt;=V$4),IF(OR($C9="Milestone",$C9="Gate"),"◆","■"),"")</x:f>
      </x:c>
      <x:c r="W9" s="37" t="str">
        <x:f t="shared" si="5">IF(AND($I9&lt;=W$4+6,$J9&gt;=W$4),IF(OR($C9="Milestone",$C9="Gate"),"◆","■"),"")</x:f>
      </x:c>
      <x:c r="X9" s="37" t="str">
        <x:f t="shared" si="5">IF(AND($I9&lt;=X$4+6,$J9&gt;=X$4),IF(OR($C9="Milestone",$C9="Gate"),"◆","■"),"")</x:f>
      </x:c>
      <x:c r="Y9" s="37" t="str">
        <x:f t="shared" si="5">IF(AND($I9&lt;=Y$4+6,$J9&gt;=Y$4),IF(OR($C9="Milestone",$C9="Gate"),"◆","■"),"")</x:f>
      </x:c>
      <x:c r="Z9" s="37" t="str">
        <x:f t="shared" si="5">IF(AND($I9&lt;=Z$4+6,$J9&gt;=Z$4),IF(OR($C9="Milestone",$C9="Gate"),"◆","■"),"")</x:f>
      </x:c>
      <x:c r="AA9" s="37" t="str">
        <x:f t="shared" si="5">IF(AND($I9&lt;=AA$4+6,$J9&gt;=AA$4),IF(OR($C9="Milestone",$C9="Gate"),"◆","■"),"")</x:f>
      </x:c>
      <x:c r="AB9" s="37" t="str">
        <x:f t="shared" si="5">IF(AND($I9&lt;=AB$4+6,$J9&gt;=AB$4),IF(OR($C9="Milestone",$C9="Gate"),"◆","■"),"")</x:f>
      </x:c>
      <x:c r="AC9" s="37" t="str">
        <x:f t="shared" si="5">IF(AND($I9&lt;=AC$4+6,$J9&gt;=AC$4),IF(OR($C9="Milestone",$C9="Gate"),"◆","■"),"")</x:f>
      </x:c>
    </x:row>
    <x:row r="10" ht="34" customHeight="1">
      <x:c r="A10" s="24" t="str">
        <x:v>F06</x:v>
      </x:c>
      <x:c r="B10" s="24" t="str">
        <x:v>Foundation</x:v>
      </x:c>
      <x:c r="C10" s="24" t="str">
        <x:v>Task</x:v>
      </x:c>
      <x:c r="D10" s="24" t="str">
        <x:v>Engineering</x:v>
      </x:c>
      <x:c r="E10" s="24" t="str">
        <x:v>Set up repositories, CI checks and shared environments</x:v>
      </x:c>
      <x:c r="F10" s="24" t="str">
        <x:v>Syed Muhtasim Alam</x:v>
      </x:c>
      <x:c r="G10" s="24" t="str">
        <x:v>Abdullah</x:v>
      </x:c>
      <x:c r="H10" s="25" t="n">
        <x:v>5</x:v>
      </x:c>
      <x:c r="I10" s="26" t="n">
        <x:v>46307</x:v>
      </x:c>
      <x:c r="J10" s="26" t="n">
        <x:v>46310</x:v>
      </x:c>
      <x:c r="K10" s="24" t="str">
        <x:v>F02</x:v>
      </x:c>
      <x:c r="L10" s="24" t="str">
        <x:v>Not started</x:v>
      </x:c>
      <x:c r="M10" s="24" t="str">
        <x:v>Frontend/backend build and test in CI</x:v>
      </x:c>
      <x:c r="N10" s="24" t="str">
        <x:v>Document environment variables</x:v>
      </x:c>
      <x:c r="O10" s="38" t="str">
        <x:f t="shared" ref="O10:AC10" si="6">IF(AND($I10&lt;=O$4+6,$J10&gt;=O$4),IF(OR($C10="Milestone",$C10="Gate"),"◆","■"),"")</x:f>
        <x:v>■</x:v>
      </x:c>
      <x:c r="P10" s="38" t="str">
        <x:f t="shared" si="6">IF(AND($I10&lt;=P$4+6,$J10&gt;=P$4),IF(OR($C10="Milestone",$C10="Gate"),"◆","■"),"")</x:f>
      </x:c>
      <x:c r="Q10" s="38" t="str">
        <x:f t="shared" si="6">IF(AND($I10&lt;=Q$4+6,$J10&gt;=Q$4),IF(OR($C10="Milestone",$C10="Gate"),"◆","■"),"")</x:f>
      </x:c>
      <x:c r="R10" s="38" t="str">
        <x:f t="shared" si="6">IF(AND($I10&lt;=R$4+6,$J10&gt;=R$4),IF(OR($C10="Milestone",$C10="Gate"),"◆","■"),"")</x:f>
      </x:c>
      <x:c r="S10" s="38" t="str">
        <x:f t="shared" si="6">IF(AND($I10&lt;=S$4+6,$J10&gt;=S$4),IF(OR($C10="Milestone",$C10="Gate"),"◆","■"),"")</x:f>
      </x:c>
      <x:c r="T10" s="38" t="str">
        <x:f t="shared" si="6">IF(AND($I10&lt;=T$4+6,$J10&gt;=T$4),IF(OR($C10="Milestone",$C10="Gate"),"◆","■"),"")</x:f>
      </x:c>
      <x:c r="U10" s="38" t="str">
        <x:f t="shared" si="6">IF(AND($I10&lt;=U$4+6,$J10&gt;=U$4),IF(OR($C10="Milestone",$C10="Gate"),"◆","■"),"")</x:f>
      </x:c>
      <x:c r="V10" s="38" t="str">
        <x:f t="shared" si="6">IF(AND($I10&lt;=V$4+6,$J10&gt;=V$4),IF(OR($C10="Milestone",$C10="Gate"),"◆","■"),"")</x:f>
      </x:c>
      <x:c r="W10" s="38" t="str">
        <x:f t="shared" si="6">IF(AND($I10&lt;=W$4+6,$J10&gt;=W$4),IF(OR($C10="Milestone",$C10="Gate"),"◆","■"),"")</x:f>
      </x:c>
      <x:c r="X10" s="38" t="str">
        <x:f t="shared" si="6">IF(AND($I10&lt;=X$4+6,$J10&gt;=X$4),IF(OR($C10="Milestone",$C10="Gate"),"◆","■"),"")</x:f>
      </x:c>
      <x:c r="Y10" s="38" t="str">
        <x:f t="shared" si="6">IF(AND($I10&lt;=Y$4+6,$J10&gt;=Y$4),IF(OR($C10="Milestone",$C10="Gate"),"◆","■"),"")</x:f>
      </x:c>
      <x:c r="Z10" s="38" t="str">
        <x:f t="shared" si="6">IF(AND($I10&lt;=Z$4+6,$J10&gt;=Z$4),IF(OR($C10="Milestone",$C10="Gate"),"◆","■"),"")</x:f>
      </x:c>
      <x:c r="AA10" s="38" t="str">
        <x:f t="shared" si="6">IF(AND($I10&lt;=AA$4+6,$J10&gt;=AA$4),IF(OR($C10="Milestone",$C10="Gate"),"◆","■"),"")</x:f>
      </x:c>
      <x:c r="AB10" s="38" t="str">
        <x:f t="shared" si="6">IF(AND($I10&lt;=AB$4+6,$J10&gt;=AB$4),IF(OR($C10="Milestone",$C10="Gate"),"◆","■"),"")</x:f>
      </x:c>
      <x:c r="AC10" s="38" t="str">
        <x:f t="shared" si="6">IF(AND($I10&lt;=AC$4+6,$J10&gt;=AC$4),IF(OR($C10="Milestone",$C10="Gate"),"◆","■"),"")</x:f>
      </x:c>
    </x:row>
    <x:row r="11" ht="34" customHeight="1">
      <x:c r="A11" s="24" t="str">
        <x:v>F07</x:v>
      </x:c>
      <x:c r="B11" s="24" t="str">
        <x:v>Foundation</x:v>
      </x:c>
      <x:c r="C11" s="24" t="str">
        <x:v>Task</x:v>
      </x:c>
      <x:c r="D11" s="24" t="str">
        <x:v>Security</x:v>
      </x:c>
      <x:c r="E11" s="24" t="str">
        <x:v>Create privacy, access-control and cache-safety checklist</x:v>
      </x:c>
      <x:c r="F11" s="24" t="str">
        <x:v>Md. Irfan Iqbal</x:v>
      </x:c>
      <x:c r="G11" s="24" t="str">
        <x:v>Muhtasim</x:v>
      </x:c>
      <x:c r="H11" s="25" t="n">
        <x:v>3</x:v>
      </x:c>
      <x:c r="I11" s="26" t="n">
        <x:v>46308</x:v>
      </x:c>
      <x:c r="J11" s="26" t="n">
        <x:v>46311</x:v>
      </x:c>
      <x:c r="K11" s="24" t="str">
        <x:v>F02</x:v>
      </x:c>
      <x:c r="L11" s="24" t="str">
        <x:v>Not started</x:v>
      </x:c>
      <x:c r="M11" s="24" t="str">
        <x:v>Checklist covers private data and public caches</x:v>
      </x:c>
      <x:c r="N11" s="24" t="str">
        <x:v>No raw NID in M1</x:v>
      </x:c>
      <x:c r="O11" s="37" t="str">
        <x:f t="shared" ref="O11:AC11" si="7">IF(AND($I11&lt;=O$4+6,$J11&gt;=O$4),IF(OR($C11="Milestone",$C11="Gate"),"◆","■"),"")</x:f>
        <x:v>■</x:v>
      </x:c>
      <x:c r="P11" s="37" t="str">
        <x:f t="shared" si="7">IF(AND($I11&lt;=P$4+6,$J11&gt;=P$4),IF(OR($C11="Milestone",$C11="Gate"),"◆","■"),"")</x:f>
      </x:c>
      <x:c r="Q11" s="37" t="str">
        <x:f t="shared" si="7">IF(AND($I11&lt;=Q$4+6,$J11&gt;=Q$4),IF(OR($C11="Milestone",$C11="Gate"),"◆","■"),"")</x:f>
      </x:c>
      <x:c r="R11" s="37" t="str">
        <x:f t="shared" si="7">IF(AND($I11&lt;=R$4+6,$J11&gt;=R$4),IF(OR($C11="Milestone",$C11="Gate"),"◆","■"),"")</x:f>
      </x:c>
      <x:c r="S11" s="37" t="str">
        <x:f t="shared" si="7">IF(AND($I11&lt;=S$4+6,$J11&gt;=S$4),IF(OR($C11="Milestone",$C11="Gate"),"◆","■"),"")</x:f>
      </x:c>
      <x:c r="T11" s="37" t="str">
        <x:f t="shared" si="7">IF(AND($I11&lt;=T$4+6,$J11&gt;=T$4),IF(OR($C11="Milestone",$C11="Gate"),"◆","■"),"")</x:f>
      </x:c>
      <x:c r="U11" s="37" t="str">
        <x:f t="shared" si="7">IF(AND($I11&lt;=U$4+6,$J11&gt;=U$4),IF(OR($C11="Milestone",$C11="Gate"),"◆","■"),"")</x:f>
      </x:c>
      <x:c r="V11" s="37" t="str">
        <x:f t="shared" si="7">IF(AND($I11&lt;=V$4+6,$J11&gt;=V$4),IF(OR($C11="Milestone",$C11="Gate"),"◆","■"),"")</x:f>
      </x:c>
      <x:c r="W11" s="37" t="str">
        <x:f t="shared" si="7">IF(AND($I11&lt;=W$4+6,$J11&gt;=W$4),IF(OR($C11="Milestone",$C11="Gate"),"◆","■"),"")</x:f>
      </x:c>
      <x:c r="X11" s="37" t="str">
        <x:f t="shared" si="7">IF(AND($I11&lt;=X$4+6,$J11&gt;=X$4),IF(OR($C11="Milestone",$C11="Gate"),"◆","■"),"")</x:f>
      </x:c>
      <x:c r="Y11" s="37" t="str">
        <x:f t="shared" si="7">IF(AND($I11&lt;=Y$4+6,$J11&gt;=Y$4),IF(OR($C11="Milestone",$C11="Gate"),"◆","■"),"")</x:f>
      </x:c>
      <x:c r="Z11" s="37" t="str">
        <x:f t="shared" si="7">IF(AND($I11&lt;=Z$4+6,$J11&gt;=Z$4),IF(OR($C11="Milestone",$C11="Gate"),"◆","■"),"")</x:f>
      </x:c>
      <x:c r="AA11" s="37" t="str">
        <x:f t="shared" si="7">IF(AND($I11&lt;=AA$4+6,$J11&gt;=AA$4),IF(OR($C11="Milestone",$C11="Gate"),"◆","■"),"")</x:f>
      </x:c>
      <x:c r="AB11" s="37" t="str">
        <x:f t="shared" si="7">IF(AND($I11&lt;=AB$4+6,$J11&gt;=AB$4),IF(OR($C11="Milestone",$C11="Gate"),"◆","■"),"")</x:f>
      </x:c>
      <x:c r="AC11" s="37" t="str">
        <x:f t="shared" si="7">IF(AND($I11&lt;=AC$4+6,$J11&gt;=AC$4),IF(OR($C11="Milestone",$C11="Gate"),"◆","■"),"")</x:f>
      </x:c>
    </x:row>
    <x:row r="12" ht="34" customHeight="1">
      <x:c r="A12" s="24" t="str">
        <x:v>R01</x:v>
      </x:c>
      <x:c r="B12" s="24" t="str">
        <x:v>M1: Destination + Reviews</x:v>
      </x:c>
      <x:c r="C12" s="24" t="str">
        <x:v>Task</x:v>
      </x:c>
      <x:c r="D12" s="24" t="str">
        <x:v>Content</x:v>
      </x:c>
      <x:c r="E12" s="24" t="str">
        <x:v>Prepare one complete bilingual seeded destination</x:v>
      </x:c>
      <x:c r="F12" s="24" t="str">
        <x:v>Shahriar Islam</x:v>
      </x:c>
      <x:c r="G12" s="24" t="str">
        <x:v>Irfan</x:v>
      </x:c>
      <x:c r="H12" s="25" t="n">
        <x:v>5</x:v>
      </x:c>
      <x:c r="I12" s="26" t="n">
        <x:v>46310</x:v>
      </x:c>
      <x:c r="J12" s="26" t="n">
        <x:v>46317</x:v>
      </x:c>
      <x:c r="K12" s="24" t="str">
        <x:v>F05</x:v>
      </x:c>
      <x:c r="L12" s="24" t="str">
        <x:v>Not started</x:v>
      </x:c>
      <x:c r="M12" s="24" t="str">
        <x:v>Source-dated Bangla/English content and contacts pass review</x:v>
      </x:c>
      <x:c r="N12" s="24" t="str">
        <x:v>One complete destination before adding more</x:v>
      </x:c>
      <x:c r="O12" s="38" t="str">
        <x:f t="shared" ref="O12:AC12" si="8">IF(AND($I12&lt;=O$4+6,$J12&gt;=O$4),IF(OR($C12="Milestone",$C12="Gate"),"◆","■"),"")</x:f>
        <x:v>■</x:v>
      </x:c>
      <x:c r="P12" s="38" t="str">
        <x:f t="shared" si="8">IF(AND($I12&lt;=P$4+6,$J12&gt;=P$4),IF(OR($C12="Milestone",$C12="Gate"),"◆","■"),"")</x:f>
        <x:v>■</x:v>
      </x:c>
      <x:c r="Q12" s="38" t="str">
        <x:f t="shared" si="8">IF(AND($I12&lt;=Q$4+6,$J12&gt;=Q$4),IF(OR($C12="Milestone",$C12="Gate"),"◆","■"),"")</x:f>
      </x:c>
      <x:c r="R12" s="38" t="str">
        <x:f t="shared" si="8">IF(AND($I12&lt;=R$4+6,$J12&gt;=R$4),IF(OR($C12="Milestone",$C12="Gate"),"◆","■"),"")</x:f>
      </x:c>
      <x:c r="S12" s="38" t="str">
        <x:f t="shared" si="8">IF(AND($I12&lt;=S$4+6,$J12&gt;=S$4),IF(OR($C12="Milestone",$C12="Gate"),"◆","■"),"")</x:f>
      </x:c>
      <x:c r="T12" s="38" t="str">
        <x:f t="shared" si="8">IF(AND($I12&lt;=T$4+6,$J12&gt;=T$4),IF(OR($C12="Milestone",$C12="Gate"),"◆","■"),"")</x:f>
      </x:c>
      <x:c r="U12" s="38" t="str">
        <x:f t="shared" si="8">IF(AND($I12&lt;=U$4+6,$J12&gt;=U$4),IF(OR($C12="Milestone",$C12="Gate"),"◆","■"),"")</x:f>
      </x:c>
      <x:c r="V12" s="38" t="str">
        <x:f t="shared" si="8">IF(AND($I12&lt;=V$4+6,$J12&gt;=V$4),IF(OR($C12="Milestone",$C12="Gate"),"◆","■"),"")</x:f>
      </x:c>
      <x:c r="W12" s="38" t="str">
        <x:f t="shared" si="8">IF(AND($I12&lt;=W$4+6,$J12&gt;=W$4),IF(OR($C12="Milestone",$C12="Gate"),"◆","■"),"")</x:f>
      </x:c>
      <x:c r="X12" s="38" t="str">
        <x:f t="shared" si="8">IF(AND($I12&lt;=X$4+6,$J12&gt;=X$4),IF(OR($C12="Milestone",$C12="Gate"),"◆","■"),"")</x:f>
      </x:c>
      <x:c r="Y12" s="38" t="str">
        <x:f t="shared" si="8">IF(AND($I12&lt;=Y$4+6,$J12&gt;=Y$4),IF(OR($C12="Milestone",$C12="Gate"),"◆","■"),"")</x:f>
      </x:c>
      <x:c r="Z12" s="38" t="str">
        <x:f t="shared" si="8">IF(AND($I12&lt;=Z$4+6,$J12&gt;=Z$4),IF(OR($C12="Milestone",$C12="Gate"),"◆","■"),"")</x:f>
      </x:c>
      <x:c r="AA12" s="38" t="str">
        <x:f t="shared" si="8">IF(AND($I12&lt;=AA$4+6,$J12&gt;=AA$4),IF(OR($C12="Milestone",$C12="Gate"),"◆","■"),"")</x:f>
      </x:c>
      <x:c r="AB12" s="38" t="str">
        <x:f t="shared" si="8">IF(AND($I12&lt;=AB$4+6,$J12&gt;=AB$4),IF(OR($C12="Milestone",$C12="Gate"),"◆","■"),"")</x:f>
      </x:c>
      <x:c r="AC12" s="38" t="str">
        <x:f t="shared" si="8">IF(AND($I12&lt;=AC$4+6,$J12&gt;=AC$4),IF(OR($C12="Milestone",$C12="Gate"),"◆","■"),"")</x:f>
      </x:c>
    </x:row>
    <x:row r="13" ht="34" customHeight="1">
      <x:c r="A13" s="24" t="str">
        <x:v>R02</x:v>
      </x:c>
      <x:c r="B13" s="24" t="str">
        <x:v>M1: Destination + Reviews</x:v>
      </x:c>
      <x:c r="C13" s="24" t="str">
        <x:v>Task</x:v>
      </x:c>
      <x:c r="D13" s="24" t="str">
        <x:v>Destination API</x:v>
      </x:c>
      <x:c r="E13" s="24" t="str">
        <x:v>Build destination, advisory and contact data services</x:v>
      </x:c>
      <x:c r="F13" s="24" t="str">
        <x:v>Syed Muhtasim Alam</x:v>
      </x:c>
      <x:c r="G13" s="24" t="str">
        <x:v>Shahriar</x:v>
      </x:c>
      <x:c r="H13" s="25" t="n">
        <x:v>5</x:v>
      </x:c>
      <x:c r="I13" s="26" t="n">
        <x:v>46310</x:v>
      </x:c>
      <x:c r="J13" s="26" t="n">
        <x:v>46316</x:v>
      </x:c>
      <x:c r="K13" s="24" t="str">
        <x:v>F02,R01</x:v>
      </x:c>
      <x:c r="L13" s="24" t="str">
        <x:v>Not started</x:v>
      </x:c>
      <x:c r="M13" s="24" t="str">
        <x:v>Validated list/detail endpoints with tests</x:v>
      </x:c>
      <x:c r="N13" s="24" t="str">
        <x:v>Expired advisories not shown as current</x:v>
      </x:c>
      <x:c r="O13" s="37" t="str">
        <x:f t="shared" ref="O13:AC13" si="9">IF(AND($I13&lt;=O$4+6,$J13&gt;=O$4),IF(OR($C13="Milestone",$C13="Gate"),"◆","■"),"")</x:f>
        <x:v>■</x:v>
      </x:c>
      <x:c r="P13" s="37" t="str">
        <x:f t="shared" si="9">IF(AND($I13&lt;=P$4+6,$J13&gt;=P$4),IF(OR($C13="Milestone",$C13="Gate"),"◆","■"),"")</x:f>
        <x:v>■</x:v>
      </x:c>
      <x:c r="Q13" s="37" t="str">
        <x:f t="shared" si="9">IF(AND($I13&lt;=Q$4+6,$J13&gt;=Q$4),IF(OR($C13="Milestone",$C13="Gate"),"◆","■"),"")</x:f>
      </x:c>
      <x:c r="R13" s="37" t="str">
        <x:f t="shared" si="9">IF(AND($I13&lt;=R$4+6,$J13&gt;=R$4),IF(OR($C13="Milestone",$C13="Gate"),"◆","■"),"")</x:f>
      </x:c>
      <x:c r="S13" s="37" t="str">
        <x:f t="shared" si="9">IF(AND($I13&lt;=S$4+6,$J13&gt;=S$4),IF(OR($C13="Milestone",$C13="Gate"),"◆","■"),"")</x:f>
      </x:c>
      <x:c r="T13" s="37" t="str">
        <x:f t="shared" si="9">IF(AND($I13&lt;=T$4+6,$J13&gt;=T$4),IF(OR($C13="Milestone",$C13="Gate"),"◆","■"),"")</x:f>
      </x:c>
      <x:c r="U13" s="37" t="str">
        <x:f t="shared" si="9">IF(AND($I13&lt;=U$4+6,$J13&gt;=U$4),IF(OR($C13="Milestone",$C13="Gate"),"◆","■"),"")</x:f>
      </x:c>
      <x:c r="V13" s="37" t="str">
        <x:f t="shared" si="9">IF(AND($I13&lt;=V$4+6,$J13&gt;=V$4),IF(OR($C13="Milestone",$C13="Gate"),"◆","■"),"")</x:f>
      </x:c>
      <x:c r="W13" s="37" t="str">
        <x:f t="shared" si="9">IF(AND($I13&lt;=W$4+6,$J13&gt;=W$4),IF(OR($C13="Milestone",$C13="Gate"),"◆","■"),"")</x:f>
      </x:c>
      <x:c r="X13" s="37" t="str">
        <x:f t="shared" si="9">IF(AND($I13&lt;=X$4+6,$J13&gt;=X$4),IF(OR($C13="Milestone",$C13="Gate"),"◆","■"),"")</x:f>
      </x:c>
      <x:c r="Y13" s="37" t="str">
        <x:f t="shared" si="9">IF(AND($I13&lt;=Y$4+6,$J13&gt;=Y$4),IF(OR($C13="Milestone",$C13="Gate"),"◆","■"),"")</x:f>
      </x:c>
      <x:c r="Z13" s="37" t="str">
        <x:f t="shared" si="9">IF(AND($I13&lt;=Z$4+6,$J13&gt;=Z$4),IF(OR($C13="Milestone",$C13="Gate"),"◆","■"),"")</x:f>
      </x:c>
      <x:c r="AA13" s="37" t="str">
        <x:f t="shared" si="9">IF(AND($I13&lt;=AA$4+6,$J13&gt;=AA$4),IF(OR($C13="Milestone",$C13="Gate"),"◆","■"),"")</x:f>
      </x:c>
      <x:c r="AB13" s="37" t="str">
        <x:f t="shared" si="9">IF(AND($I13&lt;=AB$4+6,$J13&gt;=AB$4),IF(OR($C13="Milestone",$C13="Gate"),"◆","■"),"")</x:f>
      </x:c>
      <x:c r="AC13" s="37" t="str">
        <x:f t="shared" si="9">IF(AND($I13&lt;=AC$4+6,$J13&gt;=AC$4),IF(OR($C13="Milestone",$C13="Gate"),"◆","■"),"")</x:f>
      </x:c>
    </x:row>
    <x:row r="14" ht="34" customHeight="1">
      <x:c r="A14" s="24" t="str">
        <x:v>R03</x:v>
      </x:c>
      <x:c r="B14" s="24" t="str">
        <x:v>M1: Destination + Reviews</x:v>
      </x:c>
      <x:c r="C14" s="24" t="str">
        <x:v>Task</x:v>
      </x:c>
      <x:c r="D14" s="24" t="str">
        <x:v>Destination UI</x:v>
      </x:c>
      <x:c r="E14" s="24" t="str">
        <x:v>Build bilingual destination list and detail screens</x:v>
      </x:c>
      <x:c r="F14" s="24" t="str">
        <x:v>Abdullah Bin Sorwar Choudhury</x:v>
      </x:c>
      <x:c r="G14" s="24" t="str">
        <x:v>Shahriar</x:v>
      </x:c>
      <x:c r="H14" s="25" t="n">
        <x:v>5</x:v>
      </x:c>
      <x:c r="I14" s="26" t="n">
        <x:v>46310</x:v>
      </x:c>
      <x:c r="J14" s="26" t="n">
        <x:v>46317</x:v>
      </x:c>
      <x:c r="K14" s="24" t="str">
        <x:v>F03,R02</x:v>
      </x:c>
      <x:c r="L14" s="24" t="str">
        <x:v>Not started</x:v>
      </x:c>
      <x:c r="M14" s="24" t="str">
        <x:v>Bangla-default pages with loading/error/empty states</x:v>
      </x:c>
      <x:c r="N14" s="24" t="str">
        <x:v>English switch preserves context</x:v>
      </x:c>
      <x:c r="O14" s="38" t="str">
        <x:f t="shared" ref="O14:AC14" si="10">IF(AND($I14&lt;=O$4+6,$J14&gt;=O$4),IF(OR($C14="Milestone",$C14="Gate"),"◆","■"),"")</x:f>
        <x:v>■</x:v>
      </x:c>
      <x:c r="P14" s="38" t="str">
        <x:f t="shared" si="10">IF(AND($I14&lt;=P$4+6,$J14&gt;=P$4),IF(OR($C14="Milestone",$C14="Gate"),"◆","■"),"")</x:f>
        <x:v>■</x:v>
      </x:c>
      <x:c r="Q14" s="38" t="str">
        <x:f t="shared" si="10">IF(AND($I14&lt;=Q$4+6,$J14&gt;=Q$4),IF(OR($C14="Milestone",$C14="Gate"),"◆","■"),"")</x:f>
      </x:c>
      <x:c r="R14" s="38" t="str">
        <x:f t="shared" si="10">IF(AND($I14&lt;=R$4+6,$J14&gt;=R$4),IF(OR($C14="Milestone",$C14="Gate"),"◆","■"),"")</x:f>
      </x:c>
      <x:c r="S14" s="38" t="str">
        <x:f t="shared" si="10">IF(AND($I14&lt;=S$4+6,$J14&gt;=S$4),IF(OR($C14="Milestone",$C14="Gate"),"◆","■"),"")</x:f>
      </x:c>
      <x:c r="T14" s="38" t="str">
        <x:f t="shared" si="10">IF(AND($I14&lt;=T$4+6,$J14&gt;=T$4),IF(OR($C14="Milestone",$C14="Gate"),"◆","■"),"")</x:f>
      </x:c>
      <x:c r="U14" s="38" t="str">
        <x:f t="shared" si="10">IF(AND($I14&lt;=U$4+6,$J14&gt;=U$4),IF(OR($C14="Milestone",$C14="Gate"),"◆","■"),"")</x:f>
      </x:c>
      <x:c r="V14" s="38" t="str">
        <x:f t="shared" si="10">IF(AND($I14&lt;=V$4+6,$J14&gt;=V$4),IF(OR($C14="Milestone",$C14="Gate"),"◆","■"),"")</x:f>
      </x:c>
      <x:c r="W14" s="38" t="str">
        <x:f t="shared" si="10">IF(AND($I14&lt;=W$4+6,$J14&gt;=W$4),IF(OR($C14="Milestone",$C14="Gate"),"◆","■"),"")</x:f>
      </x:c>
      <x:c r="X14" s="38" t="str">
        <x:f t="shared" si="10">IF(AND($I14&lt;=X$4+6,$J14&gt;=X$4),IF(OR($C14="Milestone",$C14="Gate"),"◆","■"),"")</x:f>
      </x:c>
      <x:c r="Y14" s="38" t="str">
        <x:f t="shared" si="10">IF(AND($I14&lt;=Y$4+6,$J14&gt;=Y$4),IF(OR($C14="Milestone",$C14="Gate"),"◆","■"),"")</x:f>
      </x:c>
      <x:c r="Z14" s="38" t="str">
        <x:f t="shared" si="10">IF(AND($I14&lt;=Z$4+6,$J14&gt;=Z$4),IF(OR($C14="Milestone",$C14="Gate"),"◆","■"),"")</x:f>
      </x:c>
      <x:c r="AA14" s="38" t="str">
        <x:f t="shared" si="10">IF(AND($I14&lt;=AA$4+6,$J14&gt;=AA$4),IF(OR($C14="Milestone",$C14="Gate"),"◆","■"),"")</x:f>
      </x:c>
      <x:c r="AB14" s="38" t="str">
        <x:f t="shared" si="10">IF(AND($I14&lt;=AB$4+6,$J14&gt;=AB$4),IF(OR($C14="Milestone",$C14="Gate"),"◆","■"),"")</x:f>
      </x:c>
      <x:c r="AC14" s="38" t="str">
        <x:f t="shared" si="10">IF(AND($I14&lt;=AC$4+6,$J14&gt;=AC$4),IF(OR($C14="Milestone",$C14="Gate"),"◆","■"),"")</x:f>
      </x:c>
    </x:row>
    <x:row r="15" ht="34" customHeight="1">
      <x:c r="A15" s="24" t="str">
        <x:v>R04</x:v>
      </x:c>
      <x:c r="B15" s="24" t="str">
        <x:v>M1: Destination + Reviews</x:v>
      </x:c>
      <x:c r="C15" s="24" t="str">
        <x:v>Task</x:v>
      </x:c>
      <x:c r="D15" s="24" t="str">
        <x:v>Authentication API</x:v>
      </x:c>
      <x:c r="E15" s="24" t="str">
        <x:v>Implement registration, email verification, sign-in/out and reset</x:v>
      </x:c>
      <x:c r="F15" s="24" t="str">
        <x:v>Syed Muhtasim Alam</x:v>
      </x:c>
      <x:c r="G15" s="24" t="str">
        <x:v>Irfan</x:v>
      </x:c>
      <x:c r="H15" s="25" t="n">
        <x:v>5</x:v>
      </x:c>
      <x:c r="I15" s="26" t="n">
        <x:v>46310</x:v>
      </x:c>
      <x:c r="J15" s="26" t="n">
        <x:v>46317</x:v>
      </x:c>
      <x:c r="K15" s="24" t="str">
        <x:v>F02,F07</x:v>
      </x:c>
      <x:c r="L15" s="24" t="str">
        <x:v>Not started</x:v>
      </x:c>
      <x:c r="M15" s="24" t="str">
        <x:v>Member authentication and role checks pass; Guest review remains open without verification</x:v>
      </x:c>
      <x:c r="N15" s="24" t="str">
        <x:v>Authentication is required only for stored member identity and private roles</x:v>
      </x:c>
      <x:c r="O15" s="37" t="str">
        <x:f t="shared" ref="O15:AC15" si="11">IF(AND($I15&lt;=O$4+6,$J15&gt;=O$4),IF(OR($C15="Milestone",$C15="Gate"),"◆","■"),"")</x:f>
        <x:v>■</x:v>
      </x:c>
      <x:c r="P15" s="37" t="str">
        <x:f t="shared" si="11">IF(AND($I15&lt;=P$4+6,$J15&gt;=P$4),IF(OR($C15="Milestone",$C15="Gate"),"◆","■"),"")</x:f>
        <x:v>■</x:v>
      </x:c>
      <x:c r="Q15" s="37" t="str">
        <x:f t="shared" si="11">IF(AND($I15&lt;=Q$4+6,$J15&gt;=Q$4),IF(OR($C15="Milestone",$C15="Gate"),"◆","■"),"")</x:f>
      </x:c>
      <x:c r="R15" s="37" t="str">
        <x:f t="shared" si="11">IF(AND($I15&lt;=R$4+6,$J15&gt;=R$4),IF(OR($C15="Milestone",$C15="Gate"),"◆","■"),"")</x:f>
      </x:c>
      <x:c r="S15" s="37" t="str">
        <x:f t="shared" si="11">IF(AND($I15&lt;=S$4+6,$J15&gt;=S$4),IF(OR($C15="Milestone",$C15="Gate"),"◆","■"),"")</x:f>
      </x:c>
      <x:c r="T15" s="37" t="str">
        <x:f t="shared" si="11">IF(AND($I15&lt;=T$4+6,$J15&gt;=T$4),IF(OR($C15="Milestone",$C15="Gate"),"◆","■"),"")</x:f>
      </x:c>
      <x:c r="U15" s="37" t="str">
        <x:f t="shared" si="11">IF(AND($I15&lt;=U$4+6,$J15&gt;=U$4),IF(OR($C15="Milestone",$C15="Gate"),"◆","■"),"")</x:f>
      </x:c>
      <x:c r="V15" s="37" t="str">
        <x:f t="shared" si="11">IF(AND($I15&lt;=V$4+6,$J15&gt;=V$4),IF(OR($C15="Milestone",$C15="Gate"),"◆","■"),"")</x:f>
      </x:c>
      <x:c r="W15" s="37" t="str">
        <x:f t="shared" si="11">IF(AND($I15&lt;=W$4+6,$J15&gt;=W$4),IF(OR($C15="Milestone",$C15="Gate"),"◆","■"),"")</x:f>
      </x:c>
      <x:c r="X15" s="37" t="str">
        <x:f t="shared" si="11">IF(AND($I15&lt;=X$4+6,$J15&gt;=X$4),IF(OR($C15="Milestone",$C15="Gate"),"◆","■"),"")</x:f>
      </x:c>
      <x:c r="Y15" s="37" t="str">
        <x:f t="shared" si="11">IF(AND($I15&lt;=Y$4+6,$J15&gt;=Y$4),IF(OR($C15="Milestone",$C15="Gate"),"◆","■"),"")</x:f>
      </x:c>
      <x:c r="Z15" s="37" t="str">
        <x:f t="shared" si="11">IF(AND($I15&lt;=Z$4+6,$J15&gt;=Z$4),IF(OR($C15="Milestone",$C15="Gate"),"◆","■"),"")</x:f>
      </x:c>
      <x:c r="AA15" s="37" t="str">
        <x:f t="shared" si="11">IF(AND($I15&lt;=AA$4+6,$J15&gt;=AA$4),IF(OR($C15="Milestone",$C15="Gate"),"◆","■"),"")</x:f>
      </x:c>
      <x:c r="AB15" s="37" t="str">
        <x:f t="shared" si="11">IF(AND($I15&lt;=AB$4+6,$J15&gt;=AB$4),IF(OR($C15="Milestone",$C15="Gate"),"◆","■"),"")</x:f>
      </x:c>
      <x:c r="AC15" s="37" t="str">
        <x:f t="shared" si="11">IF(AND($I15&lt;=AC$4+6,$J15&gt;=AC$4),IF(OR($C15="Milestone",$C15="Gate"),"◆","■"),"")</x:f>
      </x:c>
    </x:row>
    <x:row r="16" ht="34" customHeight="1">
      <x:c r="A16" s="24" t="str">
        <x:v>R05</x:v>
      </x:c>
      <x:c r="B16" s="24" t="str">
        <x:v>M1: Destination + Reviews</x:v>
      </x:c>
      <x:c r="C16" s="24" t="str">
        <x:v>Task</x:v>
      </x:c>
      <x:c r="D16" s="24" t="str">
        <x:v>Authentication UI</x:v>
      </x:c>
      <x:c r="E16" s="24" t="str">
        <x:v>Build account, verification and session screens</x:v>
      </x:c>
      <x:c r="F16" s="24" t="str">
        <x:v>Abdullah Bin Sorwar Choudhury</x:v>
      </x:c>
      <x:c r="G16" s="24" t="str">
        <x:v>Muhtasim</x:v>
      </x:c>
      <x:c r="H16" s="25" t="n">
        <x:v>4</x:v>
      </x:c>
      <x:c r="I16" s="26" t="n">
        <x:v>46313</x:v>
      </x:c>
      <x:c r="J16" s="26" t="n">
        <x:v>46318</x:v>
      </x:c>
      <x:c r="K16" s="24" t="str">
        <x:v>R04</x:v>
      </x:c>
      <x:c r="L16" s="24" t="str">
        <x:v>Not started</x:v>
      </x:c>
      <x:c r="M16" s="24" t="str">
        <x:v>Accessible success/error/expired-token flows</x:v>
      </x:c>
      <x:c r="N16" s="24" t="str">
        <x:v>Private responses never enter public cache</x:v>
      </x:c>
      <x:c r="O16" s="38" t="str">
        <x:f t="shared" ref="O16:AC16" si="12">IF(AND($I16&lt;=O$4+6,$J16&gt;=O$4),IF(OR($C16="Milestone",$C16="Gate"),"◆","■"),"")</x:f>
        <x:v>■</x:v>
      </x:c>
      <x:c r="P16" s="38" t="str">
        <x:f t="shared" si="12">IF(AND($I16&lt;=P$4+6,$J16&gt;=P$4),IF(OR($C16="Milestone",$C16="Gate"),"◆","■"),"")</x:f>
        <x:v>■</x:v>
      </x:c>
      <x:c r="Q16" s="38" t="str">
        <x:f t="shared" si="12">IF(AND($I16&lt;=Q$4+6,$J16&gt;=Q$4),IF(OR($C16="Milestone",$C16="Gate"),"◆","■"),"")</x:f>
      </x:c>
      <x:c r="R16" s="38" t="str">
        <x:f t="shared" si="12">IF(AND($I16&lt;=R$4+6,$J16&gt;=R$4),IF(OR($C16="Milestone",$C16="Gate"),"◆","■"),"")</x:f>
      </x:c>
      <x:c r="S16" s="38" t="str">
        <x:f t="shared" si="12">IF(AND($I16&lt;=S$4+6,$J16&gt;=S$4),IF(OR($C16="Milestone",$C16="Gate"),"◆","■"),"")</x:f>
      </x:c>
      <x:c r="T16" s="38" t="str">
        <x:f t="shared" si="12">IF(AND($I16&lt;=T$4+6,$J16&gt;=T$4),IF(OR($C16="Milestone",$C16="Gate"),"◆","■"),"")</x:f>
      </x:c>
      <x:c r="U16" s="38" t="str">
        <x:f t="shared" si="12">IF(AND($I16&lt;=U$4+6,$J16&gt;=U$4),IF(OR($C16="Milestone",$C16="Gate"),"◆","■"),"")</x:f>
      </x:c>
      <x:c r="V16" s="38" t="str">
        <x:f t="shared" si="12">IF(AND($I16&lt;=V$4+6,$J16&gt;=V$4),IF(OR($C16="Milestone",$C16="Gate"),"◆","■"),"")</x:f>
      </x:c>
      <x:c r="W16" s="38" t="str">
        <x:f t="shared" si="12">IF(AND($I16&lt;=W$4+6,$J16&gt;=W$4),IF(OR($C16="Milestone",$C16="Gate"),"◆","■"),"")</x:f>
      </x:c>
      <x:c r="X16" s="38" t="str">
        <x:f t="shared" si="12">IF(AND($I16&lt;=X$4+6,$J16&gt;=X$4),IF(OR($C16="Milestone",$C16="Gate"),"◆","■"),"")</x:f>
      </x:c>
      <x:c r="Y16" s="38" t="str">
        <x:f t="shared" si="12">IF(AND($I16&lt;=Y$4+6,$J16&gt;=Y$4),IF(OR($C16="Milestone",$C16="Gate"),"◆","■"),"")</x:f>
      </x:c>
      <x:c r="Z16" s="38" t="str">
        <x:f t="shared" si="12">IF(AND($I16&lt;=Z$4+6,$J16&gt;=Z$4),IF(OR($C16="Milestone",$C16="Gate"),"◆","■"),"")</x:f>
      </x:c>
      <x:c r="AA16" s="38" t="str">
        <x:f t="shared" si="12">IF(AND($I16&lt;=AA$4+6,$J16&gt;=AA$4),IF(OR($C16="Milestone",$C16="Gate"),"◆","■"),"")</x:f>
      </x:c>
      <x:c r="AB16" s="38" t="str">
        <x:f t="shared" si="12">IF(AND($I16&lt;=AB$4+6,$J16&gt;=AB$4),IF(OR($C16="Milestone",$C16="Gate"),"◆","■"),"")</x:f>
      </x:c>
      <x:c r="AC16" s="38" t="str">
        <x:f t="shared" si="12">IF(AND($I16&lt;=AC$4+6,$J16&gt;=AC$4),IF(OR($C16="Milestone",$C16="Gate"),"◆","■"),"")</x:f>
      </x:c>
    </x:row>
    <x:row r="17" ht="34" customHeight="1">
      <x:c r="A17" s="24" t="str">
        <x:v>R06</x:v>
      </x:c>
      <x:c r="B17" s="24" t="str">
        <x:v>M1: Destination + Reviews</x:v>
      </x:c>
      <x:c r="C17" s="24" t="str">
        <x:v>Task</x:v>
      </x:c>
      <x:c r="D17" s="24" t="str">
        <x:v>Review rules</x:v>
      </x:c>
      <x:c r="E17" s="24" t="str">
        <x:v>Finalize review fields, lifecycle and moderation policy</x:v>
      </x:c>
      <x:c r="F17" s="24" t="str">
        <x:v>Shahriar Islam</x:v>
      </x:c>
      <x:c r="G17" s="24" t="str">
        <x:v>Irfan, Muhtasim</x:v>
      </x:c>
      <x:c r="H17" s="25" t="n">
        <x:v>4</x:v>
      </x:c>
      <x:c r="I17" s="26" t="n">
        <x:v>46310</x:v>
      </x:c>
      <x:c r="J17" s="26" t="n">
        <x:v>46314</x:v>
      </x:c>
      <x:c r="K17" s="24" t="str">
        <x:v>F01,F04</x:v>
      </x:c>
      <x:c r="L17" s="24" t="str">
        <x:v>Not started</x:v>
      </x:c>
      <x:c r="M17" s="24" t="str">
        <x:v>Pending/published/hidden/rejected/deleted rules documented</x:v>
      </x:c>
      <x:c r="N17" s="24" t="str">
        <x:v>Rating uses published overall ratings only</x:v>
      </x:c>
      <x:c r="O17" s="37" t="str">
        <x:f t="shared" ref="O17:AC17" si="13">IF(AND($I17&lt;=O$4+6,$J17&gt;=O$4),IF(OR($C17="Milestone",$C17="Gate"),"◆","■"),"")</x:f>
        <x:v>■</x:v>
      </x:c>
      <x:c r="P17" s="37" t="str">
        <x:f t="shared" si="13">IF(AND($I17&lt;=P$4+6,$J17&gt;=P$4),IF(OR($C17="Milestone",$C17="Gate"),"◆","■"),"")</x:f>
        <x:v>■</x:v>
      </x:c>
      <x:c r="Q17" s="37" t="str">
        <x:f t="shared" si="13">IF(AND($I17&lt;=Q$4+6,$J17&gt;=Q$4),IF(OR($C17="Milestone",$C17="Gate"),"◆","■"),"")</x:f>
      </x:c>
      <x:c r="R17" s="37" t="str">
        <x:f t="shared" si="13">IF(AND($I17&lt;=R$4+6,$J17&gt;=R$4),IF(OR($C17="Milestone",$C17="Gate"),"◆","■"),"")</x:f>
      </x:c>
      <x:c r="S17" s="37" t="str">
        <x:f t="shared" si="13">IF(AND($I17&lt;=S$4+6,$J17&gt;=S$4),IF(OR($C17="Milestone",$C17="Gate"),"◆","■"),"")</x:f>
      </x:c>
      <x:c r="T17" s="37" t="str">
        <x:f t="shared" si="13">IF(AND($I17&lt;=T$4+6,$J17&gt;=T$4),IF(OR($C17="Milestone",$C17="Gate"),"◆","■"),"")</x:f>
      </x:c>
      <x:c r="U17" s="37" t="str">
        <x:f t="shared" si="13">IF(AND($I17&lt;=U$4+6,$J17&gt;=U$4),IF(OR($C17="Milestone",$C17="Gate"),"◆","■"),"")</x:f>
      </x:c>
      <x:c r="V17" s="37" t="str">
        <x:f t="shared" si="13">IF(AND($I17&lt;=V$4+6,$J17&gt;=V$4),IF(OR($C17="Milestone",$C17="Gate"),"◆","■"),"")</x:f>
      </x:c>
      <x:c r="W17" s="37" t="str">
        <x:f t="shared" si="13">IF(AND($I17&lt;=W$4+6,$J17&gt;=W$4),IF(OR($C17="Milestone",$C17="Gate"),"◆","■"),"")</x:f>
      </x:c>
      <x:c r="X17" s="37" t="str">
        <x:f t="shared" si="13">IF(AND($I17&lt;=X$4+6,$J17&gt;=X$4),IF(OR($C17="Milestone",$C17="Gate"),"◆","■"),"")</x:f>
      </x:c>
      <x:c r="Y17" s="37" t="str">
        <x:f t="shared" si="13">IF(AND($I17&lt;=Y$4+6,$J17&gt;=Y$4),IF(OR($C17="Milestone",$C17="Gate"),"◆","■"),"")</x:f>
      </x:c>
      <x:c r="Z17" s="37" t="str">
        <x:f t="shared" si="13">IF(AND($I17&lt;=Z$4+6,$J17&gt;=Z$4),IF(OR($C17="Milestone",$C17="Gate"),"◆","■"),"")</x:f>
      </x:c>
      <x:c r="AA17" s="37" t="str">
        <x:f t="shared" si="13">IF(AND($I17&lt;=AA$4+6,$J17&gt;=AA$4),IF(OR($C17="Milestone",$C17="Gate"),"◆","■"),"")</x:f>
      </x:c>
      <x:c r="AB17" s="37" t="str">
        <x:f t="shared" si="13">IF(AND($I17&lt;=AB$4+6,$J17&gt;=AB$4),IF(OR($C17="Milestone",$C17="Gate"),"◆","■"),"")</x:f>
      </x:c>
      <x:c r="AC17" s="37" t="str">
        <x:f t="shared" si="13">IF(AND($I17&lt;=AC$4+6,$J17&gt;=AC$4),IF(OR($C17="Milestone",$C17="Gate"),"◆","■"),"")</x:f>
      </x:c>
    </x:row>
    <x:row r="18" ht="34" customHeight="1">
      <x:c r="A18" s="24" t="str">
        <x:v>R07</x:v>
      </x:c>
      <x:c r="B18" s="24" t="str">
        <x:v>M1: Destination + Reviews</x:v>
      </x:c>
      <x:c r="C18" s="24" t="str">
        <x:v>Task</x:v>
      </x:c>
      <x:c r="D18" s="24" t="str">
        <x:v>Review API</x:v>
      </x:c>
      <x:c r="E18" s="24" t="str">
        <x:v>Implement Guest and Member review submission, ownership and pagination</x:v>
      </x:c>
      <x:c r="F18" s="24" t="str">
        <x:v>Syed Muhtasim Alam</x:v>
      </x:c>
      <x:c r="G18" s="24" t="str">
        <x:v>Irfan</x:v>
      </x:c>
      <x:c r="H18" s="25" t="n">
        <x:v>6</x:v>
      </x:c>
      <x:c r="I18" s="26" t="n">
        <x:v>46313</x:v>
      </x:c>
      <x:c r="J18" s="26" t="n">
        <x:v>46321</x:v>
      </x:c>
      <x:c r="K18" s="24" t="str">
        <x:v>R04,R06</x:v>
      </x:c>
      <x:c r="L18" s="24" t="str">
        <x:v>Not started</x:v>
      </x:c>
      <x:c r="M18" s="24" t="str">
        <x:v>Named Guest and Member submission paths pass validation and permission tests</x:v>
      </x:c>
      <x:c r="N18" s="24" t="str">
        <x:v>Safe text rendering and validation</x:v>
      </x:c>
      <x:c r="O18" s="38" t="str">
        <x:f t="shared" ref="O18:AC18" si="14">IF(AND($I18&lt;=O$4+6,$J18&gt;=O$4),IF(OR($C18="Milestone",$C18="Gate"),"◆","■"),"")</x:f>
        <x:v>■</x:v>
      </x:c>
      <x:c r="P18" s="38" t="str">
        <x:f t="shared" si="14">IF(AND($I18&lt;=P$4+6,$J18&gt;=P$4),IF(OR($C18="Milestone",$C18="Gate"),"◆","■"),"")</x:f>
        <x:v>■</x:v>
      </x:c>
      <x:c r="Q18" s="38" t="str">
        <x:f t="shared" si="14">IF(AND($I18&lt;=Q$4+6,$J18&gt;=Q$4),IF(OR($C18="Milestone",$C18="Gate"),"◆","■"),"")</x:f>
        <x:v>■</x:v>
      </x:c>
      <x:c r="R18" s="38" t="str">
        <x:f t="shared" si="14">IF(AND($I18&lt;=R$4+6,$J18&gt;=R$4),IF(OR($C18="Milestone",$C18="Gate"),"◆","■"),"")</x:f>
      </x:c>
      <x:c r="S18" s="38" t="str">
        <x:f t="shared" si="14">IF(AND($I18&lt;=S$4+6,$J18&gt;=S$4),IF(OR($C18="Milestone",$C18="Gate"),"◆","■"),"")</x:f>
      </x:c>
      <x:c r="T18" s="38" t="str">
        <x:f t="shared" si="14">IF(AND($I18&lt;=T$4+6,$J18&gt;=T$4),IF(OR($C18="Milestone",$C18="Gate"),"◆","■"),"")</x:f>
      </x:c>
      <x:c r="U18" s="38" t="str">
        <x:f t="shared" si="14">IF(AND($I18&lt;=U$4+6,$J18&gt;=U$4),IF(OR($C18="Milestone",$C18="Gate"),"◆","■"),"")</x:f>
      </x:c>
      <x:c r="V18" s="38" t="str">
        <x:f t="shared" si="14">IF(AND($I18&lt;=V$4+6,$J18&gt;=V$4),IF(OR($C18="Milestone",$C18="Gate"),"◆","■"),"")</x:f>
      </x:c>
      <x:c r="W18" s="38" t="str">
        <x:f t="shared" si="14">IF(AND($I18&lt;=W$4+6,$J18&gt;=W$4),IF(OR($C18="Milestone",$C18="Gate"),"◆","■"),"")</x:f>
      </x:c>
      <x:c r="X18" s="38" t="str">
        <x:f t="shared" si="14">IF(AND($I18&lt;=X$4+6,$J18&gt;=X$4),IF(OR($C18="Milestone",$C18="Gate"),"◆","■"),"")</x:f>
      </x:c>
      <x:c r="Y18" s="38" t="str">
        <x:f t="shared" si="14">IF(AND($I18&lt;=Y$4+6,$J18&gt;=Y$4),IF(OR($C18="Milestone",$C18="Gate"),"◆","■"),"")</x:f>
      </x:c>
      <x:c r="Z18" s="38" t="str">
        <x:f t="shared" si="14">IF(AND($I18&lt;=Z$4+6,$J18&gt;=Z$4),IF(OR($C18="Milestone",$C18="Gate"),"◆","■"),"")</x:f>
      </x:c>
      <x:c r="AA18" s="38" t="str">
        <x:f t="shared" si="14">IF(AND($I18&lt;=AA$4+6,$J18&gt;=AA$4),IF(OR($C18="Milestone",$C18="Gate"),"◆","■"),"")</x:f>
      </x:c>
      <x:c r="AB18" s="38" t="str">
        <x:f t="shared" si="14">IF(AND($I18&lt;=AB$4+6,$J18&gt;=AB$4),IF(OR($C18="Milestone",$C18="Gate"),"◆","■"),"")</x:f>
      </x:c>
      <x:c r="AC18" s="38" t="str">
        <x:f t="shared" si="14">IF(AND($I18&lt;=AC$4+6,$J18&gt;=AC$4),IF(OR($C18="Milestone",$C18="Gate"),"◆","■"),"")</x:f>
      </x:c>
    </x:row>
    <x:row r="19" ht="34" customHeight="1">
      <x:c r="A19" s="24" t="str">
        <x:v>R08</x:v>
      </x:c>
      <x:c r="B19" s="24" t="str">
        <x:v>M1: Destination + Reviews</x:v>
      </x:c>
      <x:c r="C19" s="24" t="str">
        <x:v>Task</x:v>
      </x:c>
      <x:c r="D19" s="24" t="str">
        <x:v>Rating service</x:v>
      </x:c>
      <x:c r="E19" s="24" t="str">
        <x:v>Implement Bayesian score and rating exclusion logic</x:v>
      </x:c>
      <x:c r="F19" s="24" t="str">
        <x:v>Syed Muhtasim Alam</x:v>
      </x:c>
      <x:c r="G19" s="24" t="str">
        <x:v>Irfan</x:v>
      </x:c>
      <x:c r="H19" s="25" t="n">
        <x:v>4</x:v>
      </x:c>
      <x:c r="I19" s="26" t="n">
        <x:v>46317</x:v>
      </x:c>
      <x:c r="J19" s="26" t="n">
        <x:v>46322</x:v>
      </x:c>
      <x:c r="K19" s="24" t="str">
        <x:v>R07</x:v>
      </x:c>
      <x:c r="L19" s="24" t="str">
        <x:v>Not started</x:v>
      </x:c>
      <x:c r="M19" s="24" t="str">
        <x:v>Fixed prior documented; hidden/rejected excluded</x:v>
      </x:c>
      <x:c r="N19" s="24" t="str">
        <x:v>Display review count with score</x:v>
      </x:c>
      <x:c r="O19" s="37" t="str">
        <x:f t="shared" ref="O19:AC19" si="15">IF(AND($I19&lt;=O$4+6,$J19&gt;=O$4),IF(OR($C19="Milestone",$C19="Gate"),"◆","■"),"")</x:f>
      </x:c>
      <x:c r="P19" s="37" t="str">
        <x:f t="shared" si="15">IF(AND($I19&lt;=P$4+6,$J19&gt;=P$4),IF(OR($C19="Milestone",$C19="Gate"),"◆","■"),"")</x:f>
        <x:v>■</x:v>
      </x:c>
      <x:c r="Q19" s="37" t="str">
        <x:f t="shared" si="15">IF(AND($I19&lt;=Q$4+6,$J19&gt;=Q$4),IF(OR($C19="Milestone",$C19="Gate"),"◆","■"),"")</x:f>
        <x:v>■</x:v>
      </x:c>
      <x:c r="R19" s="37" t="str">
        <x:f t="shared" si="15">IF(AND($I19&lt;=R$4+6,$J19&gt;=R$4),IF(OR($C19="Milestone",$C19="Gate"),"◆","■"),"")</x:f>
      </x:c>
      <x:c r="S19" s="37" t="str">
        <x:f t="shared" si="15">IF(AND($I19&lt;=S$4+6,$J19&gt;=S$4),IF(OR($C19="Milestone",$C19="Gate"),"◆","■"),"")</x:f>
      </x:c>
      <x:c r="T19" s="37" t="str">
        <x:f t="shared" si="15">IF(AND($I19&lt;=T$4+6,$J19&gt;=T$4),IF(OR($C19="Milestone",$C19="Gate"),"◆","■"),"")</x:f>
      </x:c>
      <x:c r="U19" s="37" t="str">
        <x:f t="shared" si="15">IF(AND($I19&lt;=U$4+6,$J19&gt;=U$4),IF(OR($C19="Milestone",$C19="Gate"),"◆","■"),"")</x:f>
      </x:c>
      <x:c r="V19" s="37" t="str">
        <x:f t="shared" si="15">IF(AND($I19&lt;=V$4+6,$J19&gt;=V$4),IF(OR($C19="Milestone",$C19="Gate"),"◆","■"),"")</x:f>
      </x:c>
      <x:c r="W19" s="37" t="str">
        <x:f t="shared" si="15">IF(AND($I19&lt;=W$4+6,$J19&gt;=W$4),IF(OR($C19="Milestone",$C19="Gate"),"◆","■"),"")</x:f>
      </x:c>
      <x:c r="X19" s="37" t="str">
        <x:f t="shared" si="15">IF(AND($I19&lt;=X$4+6,$J19&gt;=X$4),IF(OR($C19="Milestone",$C19="Gate"),"◆","■"),"")</x:f>
      </x:c>
      <x:c r="Y19" s="37" t="str">
        <x:f t="shared" si="15">IF(AND($I19&lt;=Y$4+6,$J19&gt;=Y$4),IF(OR($C19="Milestone",$C19="Gate"),"◆","■"),"")</x:f>
      </x:c>
      <x:c r="Z19" s="37" t="str">
        <x:f t="shared" si="15">IF(AND($I19&lt;=Z$4+6,$J19&gt;=Z$4),IF(OR($C19="Milestone",$C19="Gate"),"◆","■"),"")</x:f>
      </x:c>
      <x:c r="AA19" s="37" t="str">
        <x:f t="shared" si="15">IF(AND($I19&lt;=AA$4+6,$J19&gt;=AA$4),IF(OR($C19="Milestone",$C19="Gate"),"◆","■"),"")</x:f>
      </x:c>
      <x:c r="AB19" s="37" t="str">
        <x:f t="shared" si="15">IF(AND($I19&lt;=AB$4+6,$J19&gt;=AB$4),IF(OR($C19="Milestone",$C19="Gate"),"◆","■"),"")</x:f>
      </x:c>
      <x:c r="AC19" s="37" t="str">
        <x:f t="shared" si="15">IF(AND($I19&lt;=AC$4+6,$J19&gt;=AC$4),IF(OR($C19="Milestone",$C19="Gate"),"◆","■"),"")</x:f>
      </x:c>
    </x:row>
    <x:row r="20" ht="34" customHeight="1">
      <x:c r="A20" s="24" t="str">
        <x:v>R09</x:v>
      </x:c>
      <x:c r="B20" s="24" t="str">
        <x:v>M1: Destination + Reviews</x:v>
      </x:c>
      <x:c r="C20" s="24" t="str">
        <x:v>Task</x:v>
      </x:c>
      <x:c r="D20" s="24" t="str">
        <x:v>Review UI</x:v>
      </x:c>
      <x:c r="E20" s="24" t="str">
        <x:v>Build review form, list, filters and author controls</x:v>
      </x:c>
      <x:c r="F20" s="24" t="str">
        <x:v>Abdullah Bin Sorwar Choudhury</x:v>
      </x:c>
      <x:c r="G20" s="24" t="str">
        <x:v>Muhtasim</x:v>
      </x:c>
      <x:c r="H20" s="25" t="n">
        <x:v>6</x:v>
      </x:c>
      <x:c r="I20" s="26" t="n">
        <x:v>46315</x:v>
      </x:c>
      <x:c r="J20" s="26" t="n">
        <x:v>46322</x:v>
      </x:c>
      <x:c r="K20" s="24" t="str">
        <x:v>R05,R07</x:v>
      </x:c>
      <x:c r="L20" s="24" t="str">
        <x:v>Not started</x:v>
      </x:c>
      <x:c r="M20" s="24" t="str">
        <x:v>Guest and Member users complete their permitted review flows</x:v>
      </x:c>
      <x:c r="N20" s="24" t="str">
        <x:v>Reviews remain in submitted language</x:v>
      </x:c>
      <x:c r="O20" s="38" t="str">
        <x:f t="shared" ref="O20:AC20" si="16">IF(AND($I20&lt;=O$4+6,$J20&gt;=O$4),IF(OR($C20="Milestone",$C20="Gate"),"◆","■"),"")</x:f>
      </x:c>
      <x:c r="P20" s="38" t="str">
        <x:f t="shared" si="16">IF(AND($I20&lt;=P$4+6,$J20&gt;=P$4),IF(OR($C20="Milestone",$C20="Gate"),"◆","■"),"")</x:f>
        <x:v>■</x:v>
      </x:c>
      <x:c r="Q20" s="38" t="str">
        <x:f t="shared" si="16">IF(AND($I20&lt;=Q$4+6,$J20&gt;=Q$4),IF(OR($C20="Milestone",$C20="Gate"),"◆","■"),"")</x:f>
        <x:v>■</x:v>
      </x:c>
      <x:c r="R20" s="38" t="str">
        <x:f t="shared" si="16">IF(AND($I20&lt;=R$4+6,$J20&gt;=R$4),IF(OR($C20="Milestone",$C20="Gate"),"◆","■"),"")</x:f>
      </x:c>
      <x:c r="S20" s="38" t="str">
        <x:f t="shared" si="16">IF(AND($I20&lt;=S$4+6,$J20&gt;=S$4),IF(OR($C20="Milestone",$C20="Gate"),"◆","■"),"")</x:f>
      </x:c>
      <x:c r="T20" s="38" t="str">
        <x:f t="shared" si="16">IF(AND($I20&lt;=T$4+6,$J20&gt;=T$4),IF(OR($C20="Milestone",$C20="Gate"),"◆","■"),"")</x:f>
      </x:c>
      <x:c r="U20" s="38" t="str">
        <x:f t="shared" si="16">IF(AND($I20&lt;=U$4+6,$J20&gt;=U$4),IF(OR($C20="Milestone",$C20="Gate"),"◆","■"),"")</x:f>
      </x:c>
      <x:c r="V20" s="38" t="str">
        <x:f t="shared" si="16">IF(AND($I20&lt;=V$4+6,$J20&gt;=V$4),IF(OR($C20="Milestone",$C20="Gate"),"◆","■"),"")</x:f>
      </x:c>
      <x:c r="W20" s="38" t="str">
        <x:f t="shared" si="16">IF(AND($I20&lt;=W$4+6,$J20&gt;=W$4),IF(OR($C20="Milestone",$C20="Gate"),"◆","■"),"")</x:f>
      </x:c>
      <x:c r="X20" s="38" t="str">
        <x:f t="shared" si="16">IF(AND($I20&lt;=X$4+6,$J20&gt;=X$4),IF(OR($C20="Milestone",$C20="Gate"),"◆","■"),"")</x:f>
      </x:c>
      <x:c r="Y20" s="38" t="str">
        <x:f t="shared" si="16">IF(AND($I20&lt;=Y$4+6,$J20&gt;=Y$4),IF(OR($C20="Milestone",$C20="Gate"),"◆","■"),"")</x:f>
      </x:c>
      <x:c r="Z20" s="38" t="str">
        <x:f t="shared" si="16">IF(AND($I20&lt;=Z$4+6,$J20&gt;=Z$4),IF(OR($C20="Milestone",$C20="Gate"),"◆","■"),"")</x:f>
      </x:c>
      <x:c r="AA20" s="38" t="str">
        <x:f t="shared" si="16">IF(AND($I20&lt;=AA$4+6,$J20&gt;=AA$4),IF(OR($C20="Milestone",$C20="Gate"),"◆","■"),"")</x:f>
      </x:c>
      <x:c r="AB20" s="38" t="str">
        <x:f t="shared" si="16">IF(AND($I20&lt;=AB$4+6,$J20&gt;=AB$4),IF(OR($C20="Milestone",$C20="Gate"),"◆","■"),"")</x:f>
      </x:c>
      <x:c r="AC20" s="38" t="str">
        <x:f t="shared" si="16">IF(AND($I20&lt;=AC$4+6,$J20&gt;=AC$4),IF(OR($C20="Milestone",$C20="Gate"),"◆","■"),"")</x:f>
      </x:c>
    </x:row>
    <x:row r="21" ht="34" customHeight="1">
      <x:c r="A21" s="24" t="str">
        <x:v>R10</x:v>
      </x:c>
      <x:c r="B21" s="24" t="str">
        <x:v>M1: Destination + Reviews</x:v>
      </x:c>
      <x:c r="C21" s="24" t="str">
        <x:v>Task</x:v>
      </x:c>
      <x:c r="D21" s="24" t="str">
        <x:v>Moderation UI</x:v>
      </x:c>
      <x:c r="E21" s="24" t="str">
        <x:v>Build moderation queue, reason capture and audit view</x:v>
      </x:c>
      <x:c r="F21" s="24" t="str">
        <x:v>Shahriar Islam</x:v>
      </x:c>
      <x:c r="G21" s="24" t="str">
        <x:v>Abdullah, Muhtasim</x:v>
      </x:c>
      <x:c r="H21" s="25" t="n">
        <x:v>5</x:v>
      </x:c>
      <x:c r="I21" s="26" t="n">
        <x:v>46315</x:v>
      </x:c>
      <x:c r="J21" s="26" t="n">
        <x:v>46322</x:v>
      </x:c>
      <x:c r="K21" s="24" t="str">
        <x:v>R06,R07</x:v>
      </x:c>
      <x:c r="L21" s="24" t="str">
        <x:v>Not started</x:v>
      </x:c>
      <x:c r="M21" s="24" t="str">
        <x:v>Moderator can approve/hide/reject with reason</x:v>
      </x:c>
      <x:c r="N21" s="24" t="str">
        <x:v>Admin decisions are traceable</x:v>
      </x:c>
      <x:c r="O21" s="37" t="str">
        <x:f t="shared" ref="O21:AC21" si="17">IF(AND($I21&lt;=O$4+6,$J21&gt;=O$4),IF(OR($C21="Milestone",$C21="Gate"),"◆","■"),"")</x:f>
      </x:c>
      <x:c r="P21" s="37" t="str">
        <x:f t="shared" si="17">IF(AND($I21&lt;=P$4+6,$J21&gt;=P$4),IF(OR($C21="Milestone",$C21="Gate"),"◆","■"),"")</x:f>
        <x:v>■</x:v>
      </x:c>
      <x:c r="Q21" s="37" t="str">
        <x:f t="shared" si="17">IF(AND($I21&lt;=Q$4+6,$J21&gt;=Q$4),IF(OR($C21="Milestone",$C21="Gate"),"◆","■"),"")</x:f>
        <x:v>■</x:v>
      </x:c>
      <x:c r="R21" s="37" t="str">
        <x:f t="shared" si="17">IF(AND($I21&lt;=R$4+6,$J21&gt;=R$4),IF(OR($C21="Milestone",$C21="Gate"),"◆","■"),"")</x:f>
      </x:c>
      <x:c r="S21" s="37" t="str">
        <x:f t="shared" si="17">IF(AND($I21&lt;=S$4+6,$J21&gt;=S$4),IF(OR($C21="Milestone",$C21="Gate"),"◆","■"),"")</x:f>
      </x:c>
      <x:c r="T21" s="37" t="str">
        <x:f t="shared" si="17">IF(AND($I21&lt;=T$4+6,$J21&gt;=T$4),IF(OR($C21="Milestone",$C21="Gate"),"◆","■"),"")</x:f>
      </x:c>
      <x:c r="U21" s="37" t="str">
        <x:f t="shared" si="17">IF(AND($I21&lt;=U$4+6,$J21&gt;=U$4),IF(OR($C21="Milestone",$C21="Gate"),"◆","■"),"")</x:f>
      </x:c>
      <x:c r="V21" s="37" t="str">
        <x:f t="shared" si="17">IF(AND($I21&lt;=V$4+6,$J21&gt;=V$4),IF(OR($C21="Milestone",$C21="Gate"),"◆","■"),"")</x:f>
      </x:c>
      <x:c r="W21" s="37" t="str">
        <x:f t="shared" si="17">IF(AND($I21&lt;=W$4+6,$J21&gt;=W$4),IF(OR($C21="Milestone",$C21="Gate"),"◆","■"),"")</x:f>
      </x:c>
      <x:c r="X21" s="37" t="str">
        <x:f t="shared" si="17">IF(AND($I21&lt;=X$4+6,$J21&gt;=X$4),IF(OR($C21="Milestone",$C21="Gate"),"◆","■"),"")</x:f>
      </x:c>
      <x:c r="Y21" s="37" t="str">
        <x:f t="shared" si="17">IF(AND($I21&lt;=Y$4+6,$J21&gt;=Y$4),IF(OR($C21="Milestone",$C21="Gate"),"◆","■"),"")</x:f>
      </x:c>
      <x:c r="Z21" s="37" t="str">
        <x:f t="shared" si="17">IF(AND($I21&lt;=Z$4+6,$J21&gt;=Z$4),IF(OR($C21="Milestone",$C21="Gate"),"◆","■"),"")</x:f>
      </x:c>
      <x:c r="AA21" s="37" t="str">
        <x:f t="shared" si="17">IF(AND($I21&lt;=AA$4+6,$J21&gt;=AA$4),IF(OR($C21="Milestone",$C21="Gate"),"◆","■"),"")</x:f>
      </x:c>
      <x:c r="AB21" s="37" t="str">
        <x:f t="shared" si="17">IF(AND($I21&lt;=AB$4+6,$J21&gt;=AB$4),IF(OR($C21="Milestone",$C21="Gate"),"◆","■"),"")</x:f>
      </x:c>
      <x:c r="AC21" s="37" t="str">
        <x:f t="shared" si="17">IF(AND($I21&lt;=AC$4+6,$J21&gt;=AC$4),IF(OR($C21="Milestone",$C21="Gate"),"◆","■"),"")</x:f>
      </x:c>
    </x:row>
    <x:row r="22" ht="34" customHeight="1">
      <x:c r="A22" s="24" t="str">
        <x:v>R11</x:v>
      </x:c>
      <x:c r="B22" s="24" t="str">
        <x:v>M1: Destination + Reviews</x:v>
      </x:c>
      <x:c r="C22" s="24" t="str">
        <x:v>Task</x:v>
      </x:c>
      <x:c r="D22" s="24" t="str">
        <x:v>Reporting API</x:v>
      </x:c>
      <x:c r="E22" s="24" t="str">
        <x:v>Implement review reporting, moderation actions and audit log</x:v>
      </x:c>
      <x:c r="F22" s="24" t="str">
        <x:v>Syed Muhtasim Alam</x:v>
      </x:c>
      <x:c r="G22" s="24" t="str">
        <x:v>Shahriar, Irfan</x:v>
      </x:c>
      <x:c r="H22" s="25" t="n">
        <x:v>5</x:v>
      </x:c>
      <x:c r="I22" s="26" t="n">
        <x:v>46317</x:v>
      </x:c>
      <x:c r="J22" s="26" t="n">
        <x:v>46323</x:v>
      </x:c>
      <x:c r="K22" s="24" t="str">
        <x:v>R07,R10</x:v>
      </x:c>
      <x:c r="L22" s="24" t="str">
        <x:v>Not started</x:v>
      </x:c>
      <x:c r="M22" s="24" t="str">
        <x:v>Report-to-decision flow and audit tests pass</x:v>
      </x:c>
      <x:c r="N22" s="24" t="str">
        <x:v>Duplicate reports handled</x:v>
      </x:c>
      <x:c r="O22" s="38" t="str">
        <x:f t="shared" ref="O22:AC22" si="18">IF(AND($I22&lt;=O$4+6,$J22&gt;=O$4),IF(OR($C22="Milestone",$C22="Gate"),"◆","■"),"")</x:f>
      </x:c>
      <x:c r="P22" s="38" t="str">
        <x:f t="shared" si="18">IF(AND($I22&lt;=P$4+6,$J22&gt;=P$4),IF(OR($C22="Milestone",$C22="Gate"),"◆","■"),"")</x:f>
        <x:v>■</x:v>
      </x:c>
      <x:c r="Q22" s="38" t="str">
        <x:f t="shared" si="18">IF(AND($I22&lt;=Q$4+6,$J22&gt;=Q$4),IF(OR($C22="Milestone",$C22="Gate"),"◆","■"),"")</x:f>
        <x:v>■</x:v>
      </x:c>
      <x:c r="R22" s="38" t="str">
        <x:f t="shared" si="18">IF(AND($I22&lt;=R$4+6,$J22&gt;=R$4),IF(OR($C22="Milestone",$C22="Gate"),"◆","■"),"")</x:f>
      </x:c>
      <x:c r="S22" s="38" t="str">
        <x:f t="shared" si="18">IF(AND($I22&lt;=S$4+6,$J22&gt;=S$4),IF(OR($C22="Milestone",$C22="Gate"),"◆","■"),"")</x:f>
      </x:c>
      <x:c r="T22" s="38" t="str">
        <x:f t="shared" si="18">IF(AND($I22&lt;=T$4+6,$J22&gt;=T$4),IF(OR($C22="Milestone",$C22="Gate"),"◆","■"),"")</x:f>
      </x:c>
      <x:c r="U22" s="38" t="str">
        <x:f t="shared" si="18">IF(AND($I22&lt;=U$4+6,$J22&gt;=U$4),IF(OR($C22="Milestone",$C22="Gate"),"◆","■"),"")</x:f>
      </x:c>
      <x:c r="V22" s="38" t="str">
        <x:f t="shared" si="18">IF(AND($I22&lt;=V$4+6,$J22&gt;=V$4),IF(OR($C22="Milestone",$C22="Gate"),"◆","■"),"")</x:f>
      </x:c>
      <x:c r="W22" s="38" t="str">
        <x:f t="shared" si="18">IF(AND($I22&lt;=W$4+6,$J22&gt;=W$4),IF(OR($C22="Milestone",$C22="Gate"),"◆","■"),"")</x:f>
      </x:c>
      <x:c r="X22" s="38" t="str">
        <x:f t="shared" si="18">IF(AND($I22&lt;=X$4+6,$J22&gt;=X$4),IF(OR($C22="Milestone",$C22="Gate"),"◆","■"),"")</x:f>
      </x:c>
      <x:c r="Y22" s="38" t="str">
        <x:f t="shared" si="18">IF(AND($I22&lt;=Y$4+6,$J22&gt;=Y$4),IF(OR($C22="Milestone",$C22="Gate"),"◆","■"),"")</x:f>
      </x:c>
      <x:c r="Z22" s="38" t="str">
        <x:f t="shared" si="18">IF(AND($I22&lt;=Z$4+6,$J22&gt;=Z$4),IF(OR($C22="Milestone",$C22="Gate"),"◆","■"),"")</x:f>
      </x:c>
      <x:c r="AA22" s="38" t="str">
        <x:f t="shared" si="18">IF(AND($I22&lt;=AA$4+6,$J22&gt;=AA$4),IF(OR($C22="Milestone",$C22="Gate"),"◆","■"),"")</x:f>
      </x:c>
      <x:c r="AB22" s="38" t="str">
        <x:f t="shared" si="18">IF(AND($I22&lt;=AB$4+6,$J22&gt;=AB$4),IF(OR($C22="Milestone",$C22="Gate"),"◆","■"),"")</x:f>
      </x:c>
      <x:c r="AC22" s="38" t="str">
        <x:f t="shared" si="18">IF(AND($I22&lt;=AC$4+6,$J22&gt;=AC$4),IF(OR($C22="Milestone",$C22="Gate"),"◆","■"),"")</x:f>
      </x:c>
    </x:row>
    <x:row r="23" ht="34" customHeight="1">
      <x:c r="A23" s="24" t="str">
        <x:v>R12</x:v>
      </x:c>
      <x:c r="B23" s="24" t="str">
        <x:v>M1: Destination + Reviews</x:v>
      </x:c>
      <x:c r="C23" s="24" t="str">
        <x:v>Task</x:v>
      </x:c>
      <x:c r="D23" s="24" t="str">
        <x:v>Offline foundation</x:v>
      </x:c>
      <x:c r="E23" s="24" t="str">
        <x:v>Create installable PWA shell and cache public destination views</x:v>
      </x:c>
      <x:c r="F23" s="24" t="str">
        <x:v>Abdullah Bin Sorwar Choudhury</x:v>
      </x:c>
      <x:c r="G23" s="24" t="str">
        <x:v>Irfan</x:v>
      </x:c>
      <x:c r="H23" s="25" t="n">
        <x:v>5</x:v>
      </x:c>
      <x:c r="I23" s="26" t="n">
        <x:v>46314</x:v>
      </x:c>
      <x:c r="J23" s="26" t="n">
        <x:v>46320</x:v>
      </x:c>
      <x:c r="K23" s="24" t="str">
        <x:v>R03</x:v>
      </x:c>
      <x:c r="L23" s="24" t="str">
        <x:v>Not started</x:v>
      </x:c>
      <x:c r="M23" s="24" t="str">
        <x:v>Selected page reopens on real phone in airplane mode</x:v>
      </x:c>
      <x:c r="N23" s="24" t="str">
        <x:v>No private API caching</x:v>
      </x:c>
      <x:c r="O23" s="37" t="str">
        <x:f t="shared" ref="O23:AC23" si="19">IF(AND($I23&lt;=O$4+6,$J23&gt;=O$4),IF(OR($C23="Milestone",$C23="Gate"),"◆","■"),"")</x:f>
      </x:c>
      <x:c r="P23" s="37" t="str">
        <x:f t="shared" si="19">IF(AND($I23&lt;=P$4+6,$J23&gt;=P$4),IF(OR($C23="Milestone",$C23="Gate"),"◆","■"),"")</x:f>
        <x:v>■</x:v>
      </x:c>
      <x:c r="Q23" s="37" t="str">
        <x:f t="shared" si="19">IF(AND($I23&lt;=Q$4+6,$J23&gt;=Q$4),IF(OR($C23="Milestone",$C23="Gate"),"◆","■"),"")</x:f>
      </x:c>
      <x:c r="R23" s="37" t="str">
        <x:f t="shared" si="19">IF(AND($I23&lt;=R$4+6,$J23&gt;=R$4),IF(OR($C23="Milestone",$C23="Gate"),"◆","■"),"")</x:f>
      </x:c>
      <x:c r="S23" s="37" t="str">
        <x:f t="shared" si="19">IF(AND($I23&lt;=S$4+6,$J23&gt;=S$4),IF(OR($C23="Milestone",$C23="Gate"),"◆","■"),"")</x:f>
      </x:c>
      <x:c r="T23" s="37" t="str">
        <x:f t="shared" si="19">IF(AND($I23&lt;=T$4+6,$J23&gt;=T$4),IF(OR($C23="Milestone",$C23="Gate"),"◆","■"),"")</x:f>
      </x:c>
      <x:c r="U23" s="37" t="str">
        <x:f t="shared" si="19">IF(AND($I23&lt;=U$4+6,$J23&gt;=U$4),IF(OR($C23="Milestone",$C23="Gate"),"◆","■"),"")</x:f>
      </x:c>
      <x:c r="V23" s="37" t="str">
        <x:f t="shared" si="19">IF(AND($I23&lt;=V$4+6,$J23&gt;=V$4),IF(OR($C23="Milestone",$C23="Gate"),"◆","■"),"")</x:f>
      </x:c>
      <x:c r="W23" s="37" t="str">
        <x:f t="shared" si="19">IF(AND($I23&lt;=W$4+6,$J23&gt;=W$4),IF(OR($C23="Milestone",$C23="Gate"),"◆","■"),"")</x:f>
      </x:c>
      <x:c r="X23" s="37" t="str">
        <x:f t="shared" si="19">IF(AND($I23&lt;=X$4+6,$J23&gt;=X$4),IF(OR($C23="Milestone",$C23="Gate"),"◆","■"),"")</x:f>
      </x:c>
      <x:c r="Y23" s="37" t="str">
        <x:f t="shared" si="19">IF(AND($I23&lt;=Y$4+6,$J23&gt;=Y$4),IF(OR($C23="Milestone",$C23="Gate"),"◆","■"),"")</x:f>
      </x:c>
      <x:c r="Z23" s="37" t="str">
        <x:f t="shared" si="19">IF(AND($I23&lt;=Z$4+6,$J23&gt;=Z$4),IF(OR($C23="Milestone",$C23="Gate"),"◆","■"),"")</x:f>
      </x:c>
      <x:c r="AA23" s="37" t="str">
        <x:f t="shared" si="19">IF(AND($I23&lt;=AA$4+6,$J23&gt;=AA$4),IF(OR($C23="Milestone",$C23="Gate"),"◆","■"),"")</x:f>
      </x:c>
      <x:c r="AB23" s="37" t="str">
        <x:f t="shared" si="19">IF(AND($I23&lt;=AB$4+6,$J23&gt;=AB$4),IF(OR($C23="Milestone",$C23="Gate"),"◆","■"),"")</x:f>
      </x:c>
      <x:c r="AC23" s="37" t="str">
        <x:f t="shared" si="19">IF(AND($I23&lt;=AC$4+6,$J23&gt;=AC$4),IF(OR($C23="Milestone",$C23="Gate"),"◆","■"),"")</x:f>
      </x:c>
    </x:row>
    <x:row r="24" ht="34" customHeight="1">
      <x:c r="A24" s="24" t="str">
        <x:v>R13</x:v>
      </x:c>
      <x:c r="B24" s="24" t="str">
        <x:v>M1: Destination + Reviews</x:v>
      </x:c>
      <x:c r="C24" s="24" t="str">
        <x:v>Task</x:v>
      </x:c>
      <x:c r="D24" s="24" t="str">
        <x:v>Offline pack</x:v>
      </x:c>
      <x:c r="E24" s="24" t="str">
        <x:v>Store versioned destination pack and published-review snapshot in IndexedDB</x:v>
      </x:c>
      <x:c r="F24" s="24" t="str">
        <x:v>Abdullah Bin Sorwar Choudhury</x:v>
      </x:c>
      <x:c r="G24" s="24" t="str">
        <x:v>Muhtasim</x:v>
      </x:c>
      <x:c r="H24" s="25" t="n">
        <x:v>6</x:v>
      </x:c>
      <x:c r="I24" s="26" t="n">
        <x:v>46318</x:v>
      </x:c>
      <x:c r="J24" s="26" t="n">
        <x:v>46325</x:v>
      </x:c>
      <x:c r="K24" s="24" t="str">
        <x:v>R12,R14</x:v>
      </x:c>
      <x:c r="L24" s="24" t="str">
        <x:v>Not started</x:v>
      </x:c>
      <x:c r="M24" s="24" t="str">
        <x:v>Download/open/delete/freshness states work offline</x:v>
      </x:c>
      <x:c r="N24" s="24" t="str">
        <x:v>Request persistent storage; handle refusal</x:v>
      </x:c>
      <x:c r="O24" s="38" t="str">
        <x:f t="shared" ref="O24:AC24" si="20">IF(AND($I24&lt;=O$4+6,$J24&gt;=O$4),IF(OR($C24="Milestone",$C24="Gate"),"◆","■"),"")</x:f>
      </x:c>
      <x:c r="P24" s="38" t="str">
        <x:f t="shared" si="20">IF(AND($I24&lt;=P$4+6,$J24&gt;=P$4),IF(OR($C24="Milestone",$C24="Gate"),"◆","■"),"")</x:f>
        <x:v>■</x:v>
      </x:c>
      <x:c r="Q24" s="38" t="str">
        <x:f t="shared" si="20">IF(AND($I24&lt;=Q$4+6,$J24&gt;=Q$4),IF(OR($C24="Milestone",$C24="Gate"),"◆","■"),"")</x:f>
        <x:v>■</x:v>
      </x:c>
      <x:c r="R24" s="38" t="str">
        <x:f t="shared" si="20">IF(AND($I24&lt;=R$4+6,$J24&gt;=R$4),IF(OR($C24="Milestone",$C24="Gate"),"◆","■"),"")</x:f>
      </x:c>
      <x:c r="S24" s="38" t="str">
        <x:f t="shared" si="20">IF(AND($I24&lt;=S$4+6,$J24&gt;=S$4),IF(OR($C24="Milestone",$C24="Gate"),"◆","■"),"")</x:f>
      </x:c>
      <x:c r="T24" s="38" t="str">
        <x:f t="shared" si="20">IF(AND($I24&lt;=T$4+6,$J24&gt;=T$4),IF(OR($C24="Milestone",$C24="Gate"),"◆","■"),"")</x:f>
      </x:c>
      <x:c r="U24" s="38" t="str">
        <x:f t="shared" si="20">IF(AND($I24&lt;=U$4+6,$J24&gt;=U$4),IF(OR($C24="Milestone",$C24="Gate"),"◆","■"),"")</x:f>
      </x:c>
      <x:c r="V24" s="38" t="str">
        <x:f t="shared" si="20">IF(AND($I24&lt;=V$4+6,$J24&gt;=V$4),IF(OR($C24="Milestone",$C24="Gate"),"◆","■"),"")</x:f>
      </x:c>
      <x:c r="W24" s="38" t="str">
        <x:f t="shared" si="20">IF(AND($I24&lt;=W$4+6,$J24&gt;=W$4),IF(OR($C24="Milestone",$C24="Gate"),"◆","■"),"")</x:f>
      </x:c>
      <x:c r="X24" s="38" t="str">
        <x:f t="shared" si="20">IF(AND($I24&lt;=X$4+6,$J24&gt;=X$4),IF(OR($C24="Milestone",$C24="Gate"),"◆","■"),"")</x:f>
      </x:c>
      <x:c r="Y24" s="38" t="str">
        <x:f t="shared" si="20">IF(AND($I24&lt;=Y$4+6,$J24&gt;=Y$4),IF(OR($C24="Milestone",$C24="Gate"),"◆","■"),"")</x:f>
      </x:c>
      <x:c r="Z24" s="38" t="str">
        <x:f t="shared" si="20">IF(AND($I24&lt;=Z$4+6,$J24&gt;=Z$4),IF(OR($C24="Milestone",$C24="Gate"),"◆","■"),"")</x:f>
      </x:c>
      <x:c r="AA24" s="38" t="str">
        <x:f t="shared" si="20">IF(AND($I24&lt;=AA$4+6,$J24&gt;=AA$4),IF(OR($C24="Milestone",$C24="Gate"),"◆","■"),"")</x:f>
      </x:c>
      <x:c r="AB24" s="38" t="str">
        <x:f t="shared" si="20">IF(AND($I24&lt;=AB$4+6,$J24&gt;=AB$4),IF(OR($C24="Milestone",$C24="Gate"),"◆","■"),"")</x:f>
      </x:c>
      <x:c r="AC24" s="38" t="str">
        <x:f t="shared" si="20">IF(AND($I24&lt;=AC$4+6,$J24&gt;=AC$4),IF(OR($C24="Milestone",$C24="Gate"),"◆","■"),"")</x:f>
      </x:c>
    </x:row>
    <x:row r="25" ht="34" customHeight="1">
      <x:c r="A25" s="24" t="str">
        <x:v>R14</x:v>
      </x:c>
      <x:c r="B25" s="24" t="str">
        <x:v>M1: Destination + Reviews</x:v>
      </x:c>
      <x:c r="C25" s="24" t="str">
        <x:v>Task</x:v>
      </x:c>
      <x:c r="D25" s="24" t="str">
        <x:v>Offline API</x:v>
      </x:c>
      <x:c r="E25" s="24" t="str">
        <x:v>Implement pack manifest, version and freshness endpoints</x:v>
      </x:c>
      <x:c r="F25" s="24" t="str">
        <x:v>Syed Muhtasim Alam</x:v>
      </x:c>
      <x:c r="G25" s="24" t="str">
        <x:v>Abdullah</x:v>
      </x:c>
      <x:c r="H25" s="25" t="n">
        <x:v>4</x:v>
      </x:c>
      <x:c r="I25" s="26" t="n">
        <x:v>46317</x:v>
      </x:c>
      <x:c r="J25" s="26" t="n">
        <x:v>46322</x:v>
      </x:c>
      <x:c r="K25" s="24" t="str">
        <x:v>R02</x:v>
      </x:c>
      <x:c r="L25" s="24" t="str">
        <x:v>Not started</x:v>
      </x:c>
      <x:c r="M25" s="24" t="str">
        <x:v>Pack exposes version, generated date and public content</x:v>
      </x:c>
      <x:c r="N25" s="24" t="str">
        <x:v>Cache invalidation documented</x:v>
      </x:c>
      <x:c r="O25" s="37" t="str">
        <x:f t="shared" ref="O25:AC25" si="21">IF(AND($I25&lt;=O$4+6,$J25&gt;=O$4),IF(OR($C25="Milestone",$C25="Gate"),"◆","■"),"")</x:f>
      </x:c>
      <x:c r="P25" s="37" t="str">
        <x:f t="shared" si="21">IF(AND($I25&lt;=P$4+6,$J25&gt;=P$4),IF(OR($C25="Milestone",$C25="Gate"),"◆","■"),"")</x:f>
        <x:v>■</x:v>
      </x:c>
      <x:c r="Q25" s="37" t="str">
        <x:f t="shared" si="21">IF(AND($I25&lt;=Q$4+6,$J25&gt;=Q$4),IF(OR($C25="Milestone",$C25="Gate"),"◆","■"),"")</x:f>
        <x:v>■</x:v>
      </x:c>
      <x:c r="R25" s="37" t="str">
        <x:f t="shared" si="21">IF(AND($I25&lt;=R$4+6,$J25&gt;=R$4),IF(OR($C25="Milestone",$C25="Gate"),"◆","■"),"")</x:f>
      </x:c>
      <x:c r="S25" s="37" t="str">
        <x:f t="shared" si="21">IF(AND($I25&lt;=S$4+6,$J25&gt;=S$4),IF(OR($C25="Milestone",$C25="Gate"),"◆","■"),"")</x:f>
      </x:c>
      <x:c r="T25" s="37" t="str">
        <x:f t="shared" si="21">IF(AND($I25&lt;=T$4+6,$J25&gt;=T$4),IF(OR($C25="Milestone",$C25="Gate"),"◆","■"),"")</x:f>
      </x:c>
      <x:c r="U25" s="37" t="str">
        <x:f t="shared" si="21">IF(AND($I25&lt;=U$4+6,$J25&gt;=U$4),IF(OR($C25="Milestone",$C25="Gate"),"◆","■"),"")</x:f>
      </x:c>
      <x:c r="V25" s="37" t="str">
        <x:f t="shared" si="21">IF(AND($I25&lt;=V$4+6,$J25&gt;=V$4),IF(OR($C25="Milestone",$C25="Gate"),"◆","■"),"")</x:f>
      </x:c>
      <x:c r="W25" s="37" t="str">
        <x:f t="shared" si="21">IF(AND($I25&lt;=W$4+6,$J25&gt;=W$4),IF(OR($C25="Milestone",$C25="Gate"),"◆","■"),"")</x:f>
      </x:c>
      <x:c r="X25" s="37" t="str">
        <x:f t="shared" si="21">IF(AND($I25&lt;=X$4+6,$J25&gt;=X$4),IF(OR($C25="Milestone",$C25="Gate"),"◆","■"),"")</x:f>
      </x:c>
      <x:c r="Y25" s="37" t="str">
        <x:f t="shared" si="21">IF(AND($I25&lt;=Y$4+6,$J25&gt;=Y$4),IF(OR($C25="Milestone",$C25="Gate"),"◆","■"),"")</x:f>
      </x:c>
      <x:c r="Z25" s="37" t="str">
        <x:f t="shared" si="21">IF(AND($I25&lt;=Z$4+6,$J25&gt;=Z$4),IF(OR($C25="Milestone",$C25="Gate"),"◆","■"),"")</x:f>
      </x:c>
      <x:c r="AA25" s="37" t="str">
        <x:f t="shared" si="21">IF(AND($I25&lt;=AA$4+6,$J25&gt;=AA$4),IF(OR($C25="Milestone",$C25="Gate"),"◆","■"),"")</x:f>
      </x:c>
      <x:c r="AB25" s="37" t="str">
        <x:f t="shared" si="21">IF(AND($I25&lt;=AB$4+6,$J25&gt;=AB$4),IF(OR($C25="Milestone",$C25="Gate"),"◆","■"),"")</x:f>
      </x:c>
      <x:c r="AC25" s="37" t="str">
        <x:f t="shared" si="21">IF(AND($I25&lt;=AC$4+6,$J25&gt;=AC$4),IF(OR($C25="Milestone",$C25="Gate"),"◆","■"),"")</x:f>
      </x:c>
    </x:row>
    <x:row r="26" ht="34" customHeight="1">
      <x:c r="A26" s="24" t="str">
        <x:v>R15</x:v>
      </x:c>
      <x:c r="B26" s="24" t="str">
        <x:v>M1: Destination + Reviews</x:v>
      </x:c>
      <x:c r="C26" s="24" t="str">
        <x:v>Task</x:v>
      </x:c>
      <x:c r="D26" s="24" t="str">
        <x:v>Offline drafts</x:v>
      </x:c>
      <x:c r="E26" s="24" t="str">
        <x:v>Implement offline review drafts and idempotent reconnect submission</x:v>
      </x:c>
      <x:c r="F26" s="24" t="str">
        <x:v>Abdullah Bin Sorwar Choudhury</x:v>
      </x:c>
      <x:c r="G26" s="24" t="str">
        <x:v>Muhtasim, Irfan</x:v>
      </x:c>
      <x:c r="H26" s="25" t="n">
        <x:v>5</x:v>
      </x:c>
      <x:c r="I26" s="26" t="n">
        <x:v>46320</x:v>
      </x:c>
      <x:c r="J26" s="26" t="n">
        <x:v>46326</x:v>
      </x:c>
      <x:c r="K26" s="24" t="str">
        <x:v>R09,R13,R16</x:v>
      </x:c>
      <x:c r="L26" s="24" t="str">
        <x:v>Not started</x:v>
      </x:c>
      <x:c r="M26" s="24" t="str">
        <x:v>Retry never creates duplicate review</x:v>
      </x:c>
      <x:c r="N26" s="24" t="str">
        <x:v>Published-review edits remain online-only</x:v>
      </x:c>
      <x:c r="O26" s="38" t="str">
        <x:f t="shared" ref="O26:AC26" si="22">IF(AND($I26&lt;=O$4+6,$J26&gt;=O$4),IF(OR($C26="Milestone",$C26="Gate"),"◆","■"),"")</x:f>
      </x:c>
      <x:c r="P26" s="38" t="str">
        <x:f t="shared" si="22">IF(AND($I26&lt;=P$4+6,$J26&gt;=P$4),IF(OR($C26="Milestone",$C26="Gate"),"◆","■"),"")</x:f>
        <x:v>■</x:v>
      </x:c>
      <x:c r="Q26" s="38" t="str">
        <x:f t="shared" si="22">IF(AND($I26&lt;=Q$4+6,$J26&gt;=Q$4),IF(OR($C26="Milestone",$C26="Gate"),"◆","■"),"")</x:f>
        <x:v>■</x:v>
      </x:c>
      <x:c r="R26" s="38" t="str">
        <x:f t="shared" si="22">IF(AND($I26&lt;=R$4+6,$J26&gt;=R$4),IF(OR($C26="Milestone",$C26="Gate"),"◆","■"),"")</x:f>
      </x:c>
      <x:c r="S26" s="38" t="str">
        <x:f t="shared" si="22">IF(AND($I26&lt;=S$4+6,$J26&gt;=S$4),IF(OR($C26="Milestone",$C26="Gate"),"◆","■"),"")</x:f>
      </x:c>
      <x:c r="T26" s="38" t="str">
        <x:f t="shared" si="22">IF(AND($I26&lt;=T$4+6,$J26&gt;=T$4),IF(OR($C26="Milestone",$C26="Gate"),"◆","■"),"")</x:f>
      </x:c>
      <x:c r="U26" s="38" t="str">
        <x:f t="shared" si="22">IF(AND($I26&lt;=U$4+6,$J26&gt;=U$4),IF(OR($C26="Milestone",$C26="Gate"),"◆","■"),"")</x:f>
      </x:c>
      <x:c r="V26" s="38" t="str">
        <x:f t="shared" si="22">IF(AND($I26&lt;=V$4+6,$J26&gt;=V$4),IF(OR($C26="Milestone",$C26="Gate"),"◆","■"),"")</x:f>
      </x:c>
      <x:c r="W26" s="38" t="str">
        <x:f t="shared" si="22">IF(AND($I26&lt;=W$4+6,$J26&gt;=W$4),IF(OR($C26="Milestone",$C26="Gate"),"◆","■"),"")</x:f>
      </x:c>
      <x:c r="X26" s="38" t="str">
        <x:f t="shared" si="22">IF(AND($I26&lt;=X$4+6,$J26&gt;=X$4),IF(OR($C26="Milestone",$C26="Gate"),"◆","■"),"")</x:f>
      </x:c>
      <x:c r="Y26" s="38" t="str">
        <x:f t="shared" si="22">IF(AND($I26&lt;=Y$4+6,$J26&gt;=Y$4),IF(OR($C26="Milestone",$C26="Gate"),"◆","■"),"")</x:f>
      </x:c>
      <x:c r="Z26" s="38" t="str">
        <x:f t="shared" si="22">IF(AND($I26&lt;=Z$4+6,$J26&gt;=Z$4),IF(OR($C26="Milestone",$C26="Gate"),"◆","■"),"")</x:f>
      </x:c>
      <x:c r="AA26" s="38" t="str">
        <x:f t="shared" si="22">IF(AND($I26&lt;=AA$4+6,$J26&gt;=AA$4),IF(OR($C26="Milestone",$C26="Gate"),"◆","■"),"")</x:f>
      </x:c>
      <x:c r="AB26" s="38" t="str">
        <x:f t="shared" si="22">IF(AND($I26&lt;=AB$4+6,$J26&gt;=AB$4),IF(OR($C26="Milestone",$C26="Gate"),"◆","■"),"")</x:f>
      </x:c>
      <x:c r="AC26" s="38" t="str">
        <x:f t="shared" si="22">IF(AND($I26&lt;=AC$4+6,$J26&gt;=AC$4),IF(OR($C26="Milestone",$C26="Gate"),"◆","■"),"")</x:f>
      </x:c>
    </x:row>
    <x:row r="27" ht="34" customHeight="1">
      <x:c r="A27" s="24" t="str">
        <x:v>R16</x:v>
      </x:c>
      <x:c r="B27" s="24" t="str">
        <x:v>M1: Destination + Reviews</x:v>
      </x:c>
      <x:c r="C27" s="24" t="str">
        <x:v>Task</x:v>
      </x:c>
      <x:c r="D27" s="24" t="str">
        <x:v>Idempotency API</x:v>
      </x:c>
      <x:c r="E27" s="24" t="str">
        <x:v>Implement server-side idempotency-key storage and expiry</x:v>
      </x:c>
      <x:c r="F27" s="24" t="str">
        <x:v>Syed Muhtasim Alam</x:v>
      </x:c>
      <x:c r="G27" s="24" t="str">
        <x:v>Irfan</x:v>
      </x:c>
      <x:c r="H27" s="25" t="n">
        <x:v>3</x:v>
      </x:c>
      <x:c r="I27" s="26" t="n">
        <x:v>46319</x:v>
      </x:c>
      <x:c r="J27" s="26" t="n">
        <x:v>46323</x:v>
      </x:c>
      <x:c r="K27" s="24" t="str">
        <x:v>R07</x:v>
      </x:c>
      <x:c r="L27" s="24" t="str">
        <x:v>Not started</x:v>
      </x:c>
      <x:c r="M27" s="24" t="str">
        <x:v>Unique constraint and retry tests pass</x:v>
      </x:c>
      <x:c r="N27" s="24" t="str">
        <x:v>Document expiry policy</x:v>
      </x:c>
      <x:c r="O27" s="37" t="str">
        <x:f t="shared" ref="O27:AC27" si="23">IF(AND($I27&lt;=O$4+6,$J27&gt;=O$4),IF(OR($C27="Milestone",$C27="Gate"),"◆","■"),"")</x:f>
      </x:c>
      <x:c r="P27" s="37" t="str">
        <x:f t="shared" si="23">IF(AND($I27&lt;=P$4+6,$J27&gt;=P$4),IF(OR($C27="Milestone",$C27="Gate"),"◆","■"),"")</x:f>
        <x:v>■</x:v>
      </x:c>
      <x:c r="Q27" s="37" t="str">
        <x:f t="shared" si="23">IF(AND($I27&lt;=Q$4+6,$J27&gt;=Q$4),IF(OR($C27="Milestone",$C27="Gate"),"◆","■"),"")</x:f>
        <x:v>■</x:v>
      </x:c>
      <x:c r="R27" s="37" t="str">
        <x:f t="shared" si="23">IF(AND($I27&lt;=R$4+6,$J27&gt;=R$4),IF(OR($C27="Milestone",$C27="Gate"),"◆","■"),"")</x:f>
      </x:c>
      <x:c r="S27" s="37" t="str">
        <x:f t="shared" si="23">IF(AND($I27&lt;=S$4+6,$J27&gt;=S$4),IF(OR($C27="Milestone",$C27="Gate"),"◆","■"),"")</x:f>
      </x:c>
      <x:c r="T27" s="37" t="str">
        <x:f t="shared" si="23">IF(AND($I27&lt;=T$4+6,$J27&gt;=T$4),IF(OR($C27="Milestone",$C27="Gate"),"◆","■"),"")</x:f>
      </x:c>
      <x:c r="U27" s="37" t="str">
        <x:f t="shared" si="23">IF(AND($I27&lt;=U$4+6,$J27&gt;=U$4),IF(OR($C27="Milestone",$C27="Gate"),"◆","■"),"")</x:f>
      </x:c>
      <x:c r="V27" s="37" t="str">
        <x:f t="shared" si="23">IF(AND($I27&lt;=V$4+6,$J27&gt;=V$4),IF(OR($C27="Milestone",$C27="Gate"),"◆","■"),"")</x:f>
      </x:c>
      <x:c r="W27" s="37" t="str">
        <x:f t="shared" si="23">IF(AND($I27&lt;=W$4+6,$J27&gt;=W$4),IF(OR($C27="Milestone",$C27="Gate"),"◆","■"),"")</x:f>
      </x:c>
      <x:c r="X27" s="37" t="str">
        <x:f t="shared" si="23">IF(AND($I27&lt;=X$4+6,$J27&gt;=X$4),IF(OR($C27="Milestone",$C27="Gate"),"◆","■"),"")</x:f>
      </x:c>
      <x:c r="Y27" s="37" t="str">
        <x:f t="shared" si="23">IF(AND($I27&lt;=Y$4+6,$J27&gt;=Y$4),IF(OR($C27="Milestone",$C27="Gate"),"◆","■"),"")</x:f>
      </x:c>
      <x:c r="Z27" s="37" t="str">
        <x:f t="shared" si="23">IF(AND($I27&lt;=Z$4+6,$J27&gt;=Z$4),IF(OR($C27="Milestone",$C27="Gate"),"◆","■"),"")</x:f>
      </x:c>
      <x:c r="AA27" s="37" t="str">
        <x:f t="shared" si="23">IF(AND($I27&lt;=AA$4+6,$J27&gt;=AA$4),IF(OR($C27="Milestone",$C27="Gate"),"◆","■"),"")</x:f>
      </x:c>
      <x:c r="AB27" s="37" t="str">
        <x:f t="shared" si="23">IF(AND($I27&lt;=AB$4+6,$J27&gt;=AB$4),IF(OR($C27="Milestone",$C27="Gate"),"◆","■"),"")</x:f>
      </x:c>
      <x:c r="AC27" s="37" t="str">
        <x:f t="shared" si="23">IF(AND($I27&lt;=AC$4+6,$J27&gt;=AC$4),IF(OR($C27="Milestone",$C27="Gate"),"◆","■"),"")</x:f>
      </x:c>
    </x:row>
    <x:row r="28" ht="34" customHeight="1">
      <x:c r="A28" s="24" t="str">
        <x:v>R17</x:v>
      </x:c>
      <x:c r="B28" s="24" t="str">
        <x:v>M1: Destination + Reviews</x:v>
      </x:c>
      <x:c r="C28" s="24" t="str">
        <x:v>Task</x:v>
      </x:c>
      <x:c r="D28" s="24" t="str">
        <x:v>Functional QA</x:v>
      </x:c>
      <x:c r="E28" s="24" t="str">
        <x:v>Execute Guest, account, review, moderation and rating tests</x:v>
      </x:c>
      <x:c r="F28" s="24" t="str">
        <x:v>Md. Irfan Iqbal</x:v>
      </x:c>
      <x:c r="G28" s="24" t="str">
        <x:v>All</x:v>
      </x:c>
      <x:c r="H28" s="25" t="n">
        <x:v>6</x:v>
      </x:c>
      <x:c r="I28" s="26" t="n">
        <x:v>46315</x:v>
      </x:c>
      <x:c r="J28" s="26" t="n">
        <x:v>46326</x:v>
      </x:c>
      <x:c r="K28" s="24" t="str">
        <x:v>R04,R07,R11</x:v>
      </x:c>
      <x:c r="L28" s="24" t="str">
        <x:v>Not started</x:v>
      </x:c>
      <x:c r="M28" s="24" t="str">
        <x:v>Pass/fail evidence and defect records complete</x:v>
      </x:c>
      <x:c r="N28" s="24" t="str">
        <x:v>Retest critical fixes</x:v>
      </x:c>
      <x:c r="O28" s="38" t="str">
        <x:f t="shared" ref="O28:AC28" si="24">IF(AND($I28&lt;=O$4+6,$J28&gt;=O$4),IF(OR($C28="Milestone",$C28="Gate"),"◆","■"),"")</x:f>
      </x:c>
      <x:c r="P28" s="38" t="str">
        <x:f t="shared" si="24">IF(AND($I28&lt;=P$4+6,$J28&gt;=P$4),IF(OR($C28="Milestone",$C28="Gate"),"◆","■"),"")</x:f>
        <x:v>■</x:v>
      </x:c>
      <x:c r="Q28" s="38" t="str">
        <x:f t="shared" si="24">IF(AND($I28&lt;=Q$4+6,$J28&gt;=Q$4),IF(OR($C28="Milestone",$C28="Gate"),"◆","■"),"")</x:f>
        <x:v>■</x:v>
      </x:c>
      <x:c r="R28" s="38" t="str">
        <x:f t="shared" si="24">IF(AND($I28&lt;=R$4+6,$J28&gt;=R$4),IF(OR($C28="Milestone",$C28="Gate"),"◆","■"),"")</x:f>
      </x:c>
      <x:c r="S28" s="38" t="str">
        <x:f t="shared" si="24">IF(AND($I28&lt;=S$4+6,$J28&gt;=S$4),IF(OR($C28="Milestone",$C28="Gate"),"◆","■"),"")</x:f>
      </x:c>
      <x:c r="T28" s="38" t="str">
        <x:f t="shared" si="24">IF(AND($I28&lt;=T$4+6,$J28&gt;=T$4),IF(OR($C28="Milestone",$C28="Gate"),"◆","■"),"")</x:f>
      </x:c>
      <x:c r="U28" s="38" t="str">
        <x:f t="shared" si="24">IF(AND($I28&lt;=U$4+6,$J28&gt;=U$4),IF(OR($C28="Milestone",$C28="Gate"),"◆","■"),"")</x:f>
      </x:c>
      <x:c r="V28" s="38" t="str">
        <x:f t="shared" si="24">IF(AND($I28&lt;=V$4+6,$J28&gt;=V$4),IF(OR($C28="Milestone",$C28="Gate"),"◆","■"),"")</x:f>
      </x:c>
      <x:c r="W28" s="38" t="str">
        <x:f t="shared" si="24">IF(AND($I28&lt;=W$4+6,$J28&gt;=W$4),IF(OR($C28="Milestone",$C28="Gate"),"◆","■"),"")</x:f>
      </x:c>
      <x:c r="X28" s="38" t="str">
        <x:f t="shared" si="24">IF(AND($I28&lt;=X$4+6,$J28&gt;=X$4),IF(OR($C28="Milestone",$C28="Gate"),"◆","■"),"")</x:f>
      </x:c>
      <x:c r="Y28" s="38" t="str">
        <x:f t="shared" si="24">IF(AND($I28&lt;=Y$4+6,$J28&gt;=Y$4),IF(OR($C28="Milestone",$C28="Gate"),"◆","■"),"")</x:f>
      </x:c>
      <x:c r="Z28" s="38" t="str">
        <x:f t="shared" si="24">IF(AND($I28&lt;=Z$4+6,$J28&gt;=Z$4),IF(OR($C28="Milestone",$C28="Gate"),"◆","■"),"")</x:f>
      </x:c>
      <x:c r="AA28" s="38" t="str">
        <x:f t="shared" si="24">IF(AND($I28&lt;=AA$4+6,$J28&gt;=AA$4),IF(OR($C28="Milestone",$C28="Gate"),"◆","■"),"")</x:f>
      </x:c>
      <x:c r="AB28" s="38" t="str">
        <x:f t="shared" si="24">IF(AND($I28&lt;=AB$4+6,$J28&gt;=AB$4),IF(OR($C28="Milestone",$C28="Gate"),"◆","■"),"")</x:f>
      </x:c>
      <x:c r="AC28" s="38" t="str">
        <x:f t="shared" si="24">IF(AND($I28&lt;=AC$4+6,$J28&gt;=AC$4),IF(OR($C28="Milestone",$C28="Gate"),"◆","■"),"")</x:f>
      </x:c>
    </x:row>
    <x:row r="29" ht="34" customHeight="1">
      <x:c r="A29" s="24" t="str">
        <x:v>R18</x:v>
      </x:c>
      <x:c r="B29" s="24" t="str">
        <x:v>M1: Destination + Reviews</x:v>
      </x:c>
      <x:c r="C29" s="24" t="str">
        <x:v>Task</x:v>
      </x:c>
      <x:c r="D29" s="24" t="str">
        <x:v>Offline QA</x:v>
      </x:c>
      <x:c r="E29" s="24" t="str">
        <x:v>Test airplane mode, weak network, Bangla and storage failure</x:v>
      </x:c>
      <x:c r="F29" s="24" t="str">
        <x:v>Md. Irfan Iqbal</x:v>
      </x:c>
      <x:c r="G29" s="24" t="str">
        <x:v>Abdullah</x:v>
      </x:c>
      <x:c r="H29" s="25" t="n">
        <x:v>6</x:v>
      </x:c>
      <x:c r="I29" s="26" t="n">
        <x:v>46318</x:v>
      </x:c>
      <x:c r="J29" s="26" t="n">
        <x:v>46327</x:v>
      </x:c>
      <x:c r="K29" s="24" t="str">
        <x:v>R12,R13,R15</x:v>
      </x:c>
      <x:c r="L29" s="24" t="str">
        <x:v>Not started</x:v>
      </x:c>
      <x:c r="M29" s="24" t="str">
        <x:v>Real-device evidence for download/open/reconnect</x:v>
      </x:c>
      <x:c r="N29" s="24" t="str">
        <x:v>Include denied persistence and stale pack</x:v>
      </x:c>
      <x:c r="O29" s="37" t="str">
        <x:f t="shared" ref="O29:AC29" si="25">IF(AND($I29&lt;=O$4+6,$J29&gt;=O$4),IF(OR($C29="Milestone",$C29="Gate"),"◆","■"),"")</x:f>
      </x:c>
      <x:c r="P29" s="37" t="str">
        <x:f t="shared" si="25">IF(AND($I29&lt;=P$4+6,$J29&gt;=P$4),IF(OR($C29="Milestone",$C29="Gate"),"◆","■"),"")</x:f>
        <x:v>■</x:v>
      </x:c>
      <x:c r="Q29" s="37" t="str">
        <x:f t="shared" si="25">IF(AND($I29&lt;=Q$4+6,$J29&gt;=Q$4),IF(OR($C29="Milestone",$C29="Gate"),"◆","■"),"")</x:f>
        <x:v>■</x:v>
      </x:c>
      <x:c r="R29" s="37" t="str">
        <x:f t="shared" si="25">IF(AND($I29&lt;=R$4+6,$J29&gt;=R$4),IF(OR($C29="Milestone",$C29="Gate"),"◆","■"),"")</x:f>
      </x:c>
      <x:c r="S29" s="37" t="str">
        <x:f t="shared" si="25">IF(AND($I29&lt;=S$4+6,$J29&gt;=S$4),IF(OR($C29="Milestone",$C29="Gate"),"◆","■"),"")</x:f>
      </x:c>
      <x:c r="T29" s="37" t="str">
        <x:f t="shared" si="25">IF(AND($I29&lt;=T$4+6,$J29&gt;=T$4),IF(OR($C29="Milestone",$C29="Gate"),"◆","■"),"")</x:f>
      </x:c>
      <x:c r="U29" s="37" t="str">
        <x:f t="shared" si="25">IF(AND($I29&lt;=U$4+6,$J29&gt;=U$4),IF(OR($C29="Milestone",$C29="Gate"),"◆","■"),"")</x:f>
      </x:c>
      <x:c r="V29" s="37" t="str">
        <x:f t="shared" si="25">IF(AND($I29&lt;=V$4+6,$J29&gt;=V$4),IF(OR($C29="Milestone",$C29="Gate"),"◆","■"),"")</x:f>
      </x:c>
      <x:c r="W29" s="37" t="str">
        <x:f t="shared" si="25">IF(AND($I29&lt;=W$4+6,$J29&gt;=W$4),IF(OR($C29="Milestone",$C29="Gate"),"◆","■"),"")</x:f>
      </x:c>
      <x:c r="X29" s="37" t="str">
        <x:f t="shared" si="25">IF(AND($I29&lt;=X$4+6,$J29&gt;=X$4),IF(OR($C29="Milestone",$C29="Gate"),"◆","■"),"")</x:f>
      </x:c>
      <x:c r="Y29" s="37" t="str">
        <x:f t="shared" si="25">IF(AND($I29&lt;=Y$4+6,$J29&gt;=Y$4),IF(OR($C29="Milestone",$C29="Gate"),"◆","■"),"")</x:f>
      </x:c>
      <x:c r="Z29" s="37" t="str">
        <x:f t="shared" si="25">IF(AND($I29&lt;=Z$4+6,$J29&gt;=Z$4),IF(OR($C29="Milestone",$C29="Gate"),"◆","■"),"")</x:f>
      </x:c>
      <x:c r="AA29" s="37" t="str">
        <x:f t="shared" si="25">IF(AND($I29&lt;=AA$4+6,$J29&gt;=AA$4),IF(OR($C29="Milestone",$C29="Gate"),"◆","■"),"")</x:f>
      </x:c>
      <x:c r="AB29" s="37" t="str">
        <x:f t="shared" si="25">IF(AND($I29&lt;=AB$4+6,$J29&gt;=AB$4),IF(OR($C29="Milestone",$C29="Gate"),"◆","■"),"")</x:f>
      </x:c>
      <x:c r="AC29" s="37" t="str">
        <x:f t="shared" si="25">IF(AND($I29&lt;=AC$4+6,$J29&gt;=AC$4),IF(OR($C29="Milestone",$C29="Gate"),"◆","■"),"")</x:f>
      </x:c>
    </x:row>
    <x:row r="30" ht="34" customHeight="1">
      <x:c r="A30" s="24" t="str">
        <x:v>R19</x:v>
      </x:c>
      <x:c r="B30" s="24" t="str">
        <x:v>M1: Destination + Reviews</x:v>
      </x:c>
      <x:c r="C30" s="24" t="str">
        <x:v>Task</x:v>
      </x:c>
      <x:c r="D30" s="24" t="str">
        <x:v>Release coordination</x:v>
      </x:c>
      <x:c r="E30" s="24" t="str">
        <x:v>Run integration, defect triage and scope control</x:v>
      </x:c>
      <x:c r="F30" s="24" t="str">
        <x:v>Shahriar Islam</x:v>
      </x:c>
      <x:c r="G30" s="24" t="str">
        <x:v>All</x:v>
      </x:c>
      <x:c r="H30" s="25" t="n">
        <x:v>5</x:v>
      </x:c>
      <x:c r="I30" s="26" t="n">
        <x:v>46320</x:v>
      </x:c>
      <x:c r="J30" s="26" t="n">
        <x:v>46327</x:v>
      </x:c>
      <x:c r="K30" s="24" t="str">
        <x:v>R03,R11,R13</x:v>
      </x:c>
      <x:c r="L30" s="24" t="str">
        <x:v>Not started</x:v>
      </x:c>
      <x:c r="M30" s="24" t="str">
        <x:v>No blocker in destination-review-offline flow</x:v>
      </x:c>
      <x:c r="N30" s="24" t="str">
        <x:v>Cut quantity before lifecycle</x:v>
      </x:c>
      <x:c r="O30" s="38" t="str">
        <x:f t="shared" ref="O30:AC30" si="26">IF(AND($I30&lt;=O$4+6,$J30&gt;=O$4),IF(OR($C30="Milestone",$C30="Gate"),"◆","■"),"")</x:f>
      </x:c>
      <x:c r="P30" s="38" t="str">
        <x:f t="shared" si="26">IF(AND($I30&lt;=P$4+6,$J30&gt;=P$4),IF(OR($C30="Milestone",$C30="Gate"),"◆","■"),"")</x:f>
        <x:v>■</x:v>
      </x:c>
      <x:c r="Q30" s="38" t="str">
        <x:f t="shared" si="26">IF(AND($I30&lt;=Q$4+6,$J30&gt;=Q$4),IF(OR($C30="Milestone",$C30="Gate"),"◆","■"),"")</x:f>
        <x:v>■</x:v>
      </x:c>
      <x:c r="R30" s="38" t="str">
        <x:f t="shared" si="26">IF(AND($I30&lt;=R$4+6,$J30&gt;=R$4),IF(OR($C30="Milestone",$C30="Gate"),"◆","■"),"")</x:f>
      </x:c>
      <x:c r="S30" s="38" t="str">
        <x:f t="shared" si="26">IF(AND($I30&lt;=S$4+6,$J30&gt;=S$4),IF(OR($C30="Milestone",$C30="Gate"),"◆","■"),"")</x:f>
      </x:c>
      <x:c r="T30" s="38" t="str">
        <x:f t="shared" si="26">IF(AND($I30&lt;=T$4+6,$J30&gt;=T$4),IF(OR($C30="Milestone",$C30="Gate"),"◆","■"),"")</x:f>
      </x:c>
      <x:c r="U30" s="38" t="str">
        <x:f t="shared" si="26">IF(AND($I30&lt;=U$4+6,$J30&gt;=U$4),IF(OR($C30="Milestone",$C30="Gate"),"◆","■"),"")</x:f>
      </x:c>
      <x:c r="V30" s="38" t="str">
        <x:f t="shared" si="26">IF(AND($I30&lt;=V$4+6,$J30&gt;=V$4),IF(OR($C30="Milestone",$C30="Gate"),"◆","■"),"")</x:f>
      </x:c>
      <x:c r="W30" s="38" t="str">
        <x:f t="shared" si="26">IF(AND($I30&lt;=W$4+6,$J30&gt;=W$4),IF(OR($C30="Milestone",$C30="Gate"),"◆","■"),"")</x:f>
      </x:c>
      <x:c r="X30" s="38" t="str">
        <x:f t="shared" si="26">IF(AND($I30&lt;=X$4+6,$J30&gt;=X$4),IF(OR($C30="Milestone",$C30="Gate"),"◆","■"),"")</x:f>
      </x:c>
      <x:c r="Y30" s="38" t="str">
        <x:f t="shared" si="26">IF(AND($I30&lt;=Y$4+6,$J30&gt;=Y$4),IF(OR($C30="Milestone",$C30="Gate"),"◆","■"),"")</x:f>
      </x:c>
      <x:c r="Z30" s="38" t="str">
        <x:f t="shared" si="26">IF(AND($I30&lt;=Z$4+6,$J30&gt;=Z$4),IF(OR($C30="Milestone",$C30="Gate"),"◆","■"),"")</x:f>
      </x:c>
      <x:c r="AA30" s="38" t="str">
        <x:f t="shared" si="26">IF(AND($I30&lt;=AA$4+6,$J30&gt;=AA$4),IF(OR($C30="Milestone",$C30="Gate"),"◆","■"),"")</x:f>
      </x:c>
      <x:c r="AB30" s="38" t="str">
        <x:f t="shared" si="26">IF(AND($I30&lt;=AB$4+6,$J30&gt;=AB$4),IF(OR($C30="Milestone",$C30="Gate"),"◆","■"),"")</x:f>
      </x:c>
      <x:c r="AC30" s="38" t="str">
        <x:f t="shared" si="26">IF(AND($I30&lt;=AC$4+6,$J30&gt;=AC$4),IF(OR($C30="Milestone",$C30="Gate"),"◆","■"),"")</x:f>
      </x:c>
    </x:row>
    <x:row r="31" ht="34" customHeight="1">
      <x:c r="A31" s="24" t="str">
        <x:v>R20</x:v>
      </x:c>
      <x:c r="B31" s="24" t="str">
        <x:v>M1: Destination + Reviews</x:v>
      </x:c>
      <x:c r="C31" s="24" t="str">
        <x:v>Task</x:v>
      </x:c>
      <x:c r="D31" s="24" t="str">
        <x:v>Acceptance QA</x:v>
      </x:c>
      <x:c r="E31" s="24" t="str">
        <x:v>Run M1 acceptance regression and prepare test summary</x:v>
      </x:c>
      <x:c r="F31" s="24" t="str">
        <x:v>Md. Irfan Iqbal</x:v>
      </x:c>
      <x:c r="G31" s="24" t="str">
        <x:v>All</x:v>
      </x:c>
      <x:c r="H31" s="25" t="n">
        <x:v>4</x:v>
      </x:c>
      <x:c r="I31" s="26" t="n">
        <x:v>46325</x:v>
      </x:c>
      <x:c r="J31" s="26" t="n">
        <x:v>46328</x:v>
      </x:c>
      <x:c r="K31" s="24" t="str">
        <x:v>R17,R18,R19</x:v>
      </x:c>
      <x:c r="L31" s="24" t="str">
        <x:v>Not started</x:v>
      </x:c>
      <x:c r="M31" s="24" t="str">
        <x:v>Signed acceptance checklist and known limitations</x:v>
      </x:c>
      <x:c r="N31" s="24" t="str">
        <x:v>Evidence linked by test ID</x:v>
      </x:c>
      <x:c r="O31" s="37" t="str">
        <x:f t="shared" ref="O31:AC31" si="27">IF(AND($I31&lt;=O$4+6,$J31&gt;=O$4),IF(OR($C31="Milestone",$C31="Gate"),"◆","■"),"")</x:f>
      </x:c>
      <x:c r="P31" s="37" t="str">
        <x:f t="shared" si="27">IF(AND($I31&lt;=P$4+6,$J31&gt;=P$4),IF(OR($C31="Milestone",$C31="Gate"),"◆","■"),"")</x:f>
      </x:c>
      <x:c r="Q31" s="37" t="str">
        <x:f t="shared" si="27">IF(AND($I31&lt;=Q$4+6,$J31&gt;=Q$4),IF(OR($C31="Milestone",$C31="Gate"),"◆","■"),"")</x:f>
        <x:v>■</x:v>
      </x:c>
      <x:c r="R31" s="37" t="str">
        <x:f t="shared" si="27">IF(AND($I31&lt;=R$4+6,$J31&gt;=R$4),IF(OR($C31="Milestone",$C31="Gate"),"◆","■"),"")</x:f>
        <x:v>■</x:v>
      </x:c>
      <x:c r="S31" s="37" t="str">
        <x:f t="shared" si="27">IF(AND($I31&lt;=S$4+6,$J31&gt;=S$4),IF(OR($C31="Milestone",$C31="Gate"),"◆","■"),"")</x:f>
      </x:c>
      <x:c r="T31" s="37" t="str">
        <x:f t="shared" si="27">IF(AND($I31&lt;=T$4+6,$J31&gt;=T$4),IF(OR($C31="Milestone",$C31="Gate"),"◆","■"),"")</x:f>
      </x:c>
      <x:c r="U31" s="37" t="str">
        <x:f t="shared" si="27">IF(AND($I31&lt;=U$4+6,$J31&gt;=U$4),IF(OR($C31="Milestone",$C31="Gate"),"◆","■"),"")</x:f>
      </x:c>
      <x:c r="V31" s="37" t="str">
        <x:f t="shared" si="27">IF(AND($I31&lt;=V$4+6,$J31&gt;=V$4),IF(OR($C31="Milestone",$C31="Gate"),"◆","■"),"")</x:f>
      </x:c>
      <x:c r="W31" s="37" t="str">
        <x:f t="shared" si="27">IF(AND($I31&lt;=W$4+6,$J31&gt;=W$4),IF(OR($C31="Milestone",$C31="Gate"),"◆","■"),"")</x:f>
      </x:c>
      <x:c r="X31" s="37" t="str">
        <x:f t="shared" si="27">IF(AND($I31&lt;=X$4+6,$J31&gt;=X$4),IF(OR($C31="Milestone",$C31="Gate"),"◆","■"),"")</x:f>
      </x:c>
      <x:c r="Y31" s="37" t="str">
        <x:f t="shared" si="27">IF(AND($I31&lt;=Y$4+6,$J31&gt;=Y$4),IF(OR($C31="Milestone",$C31="Gate"),"◆","■"),"")</x:f>
      </x:c>
      <x:c r="Z31" s="37" t="str">
        <x:f t="shared" si="27">IF(AND($I31&lt;=Z$4+6,$J31&gt;=Z$4),IF(OR($C31="Milestone",$C31="Gate"),"◆","■"),"")</x:f>
      </x:c>
      <x:c r="AA31" s="37" t="str">
        <x:f t="shared" si="27">IF(AND($I31&lt;=AA$4+6,$J31&gt;=AA$4),IF(OR($C31="Milestone",$C31="Gate"),"◆","■"),"")</x:f>
      </x:c>
      <x:c r="AB31" s="37" t="str">
        <x:f t="shared" si="27">IF(AND($I31&lt;=AB$4+6,$J31&gt;=AB$4),IF(OR($C31="Milestone",$C31="Gate"),"◆","■"),"")</x:f>
      </x:c>
      <x:c r="AC31" s="37" t="str">
        <x:f t="shared" si="27">IF(AND($I31&lt;=AC$4+6,$J31&gt;=AC$4),IF(OR($C31="Milestone",$C31="Gate"),"◆","■"),"")</x:f>
      </x:c>
    </x:row>
    <x:row r="32" ht="34" customHeight="1">
      <x:c r="A32" s="34" t="str">
        <x:v>M1</x:v>
      </x:c>
      <x:c r="B32" s="34" t="str">
        <x:v>M1: Destination + Reviews</x:v>
      </x:c>
      <x:c r="C32" s="34" t="str">
        <x:v>Milestone</x:v>
      </x:c>
      <x:c r="D32" s="34" t="str">
        <x:v>Gate</x:v>
      </x:c>
      <x:c r="E32" s="34" t="str">
        <x:v>Major feature accepted: destination + reviews + bilingual offline support</x:v>
      </x:c>
      <x:c r="F32" s="34" t="str">
        <x:v>Shahriar Islam</x:v>
      </x:c>
      <x:c r="G32" s="34" t="str">
        <x:v>All</x:v>
      </x:c>
      <x:c r="H32" s="35" t="n">
        <x:v>1</x:v>
      </x:c>
      <x:c r="I32" s="36" t="n">
        <x:v>46328</x:v>
      </x:c>
      <x:c r="J32" s="36" t="n">
        <x:v>46328</x:v>
      </x:c>
      <x:c r="K32" s="34" t="str">
        <x:v>R20</x:v>
      </x:c>
      <x:c r="L32" s="34" t="str">
        <x:v>Not started</x:v>
      </x:c>
      <x:c r="M32" s="34" t="str">
        <x:v>End-to-end demonstration succeeds</x:v>
      </x:c>
      <x:c r="N32" s="34" t="str">
        <x:v>Fixed milestone</x:v>
      </x:c>
      <x:c r="O32" s="39" t="str">
        <x:f t="shared" ref="O32:AC32" si="28">IF(AND($I32&lt;=O$4+6,$J32&gt;=O$4),IF(OR($C32="Milestone",$C32="Gate"),"◆","■"),"")</x:f>
      </x:c>
      <x:c r="P32" s="39" t="str">
        <x:f t="shared" si="28">IF(AND($I32&lt;=P$4+6,$J32&gt;=P$4),IF(OR($C32="Milestone",$C32="Gate"),"◆","■"),"")</x:f>
      </x:c>
      <x:c r="Q32" s="39" t="str">
        <x:f t="shared" si="28">IF(AND($I32&lt;=Q$4+6,$J32&gt;=Q$4),IF(OR($C32="Milestone",$C32="Gate"),"◆","■"),"")</x:f>
      </x:c>
      <x:c r="R32" s="39" t="str">
        <x:f t="shared" si="28">IF(AND($I32&lt;=R$4+6,$J32&gt;=R$4),IF(OR($C32="Milestone",$C32="Gate"),"◆","■"),"")</x:f>
        <x:v>◆</x:v>
      </x:c>
      <x:c r="S32" s="39" t="str">
        <x:f t="shared" si="28">IF(AND($I32&lt;=S$4+6,$J32&gt;=S$4),IF(OR($C32="Milestone",$C32="Gate"),"◆","■"),"")</x:f>
      </x:c>
      <x:c r="T32" s="39" t="str">
        <x:f t="shared" si="28">IF(AND($I32&lt;=T$4+6,$J32&gt;=T$4),IF(OR($C32="Milestone",$C32="Gate"),"◆","■"),"")</x:f>
      </x:c>
      <x:c r="U32" s="39" t="str">
        <x:f t="shared" si="28">IF(AND($I32&lt;=U$4+6,$J32&gt;=U$4),IF(OR($C32="Milestone",$C32="Gate"),"◆","■"),"")</x:f>
      </x:c>
      <x:c r="V32" s="39" t="str">
        <x:f t="shared" si="28">IF(AND($I32&lt;=V$4+6,$J32&gt;=V$4),IF(OR($C32="Milestone",$C32="Gate"),"◆","■"),"")</x:f>
      </x:c>
      <x:c r="W32" s="39" t="str">
        <x:f t="shared" si="28">IF(AND($I32&lt;=W$4+6,$J32&gt;=W$4),IF(OR($C32="Milestone",$C32="Gate"),"◆","■"),"")</x:f>
      </x:c>
      <x:c r="X32" s="39" t="str">
        <x:f t="shared" si="28">IF(AND($I32&lt;=X$4+6,$J32&gt;=X$4),IF(OR($C32="Milestone",$C32="Gate"),"◆","■"),"")</x:f>
      </x:c>
      <x:c r="Y32" s="39" t="str">
        <x:f t="shared" si="28">IF(AND($I32&lt;=Y$4+6,$J32&gt;=Y$4),IF(OR($C32="Milestone",$C32="Gate"),"◆","■"),"")</x:f>
      </x:c>
      <x:c r="Z32" s="39" t="str">
        <x:f t="shared" si="28">IF(AND($I32&lt;=Z$4+6,$J32&gt;=Z$4),IF(OR($C32="Milestone",$C32="Gate"),"◆","■"),"")</x:f>
      </x:c>
      <x:c r="AA32" s="39" t="str">
        <x:f t="shared" si="28">IF(AND($I32&lt;=AA$4+6,$J32&gt;=AA$4),IF(OR($C32="Milestone",$C32="Gate"),"◆","■"),"")</x:f>
      </x:c>
      <x:c r="AB32" s="39" t="str">
        <x:f t="shared" si="28">IF(AND($I32&lt;=AB$4+6,$J32&gt;=AB$4),IF(OR($C32="Milestone",$C32="Gate"),"◆","■"),"")</x:f>
      </x:c>
      <x:c r="AC32" s="39" t="str">
        <x:f t="shared" si="28">IF(AND($I32&lt;=AC$4+6,$J32&gt;=AC$4),IF(OR($C32="Milestone",$C32="Gate"),"◆","■"),"")</x:f>
      </x:c>
    </x:row>
    <x:row r="33" ht="34" customHeight="1">
      <x:c r="A33" s="24" t="str">
        <x:v>E01</x:v>
      </x:c>
      <x:c r="B33" s="24" t="str">
        <x:v>M2: Estimator + 55%</x:v>
      </x:c>
      <x:c r="C33" s="24" t="str">
        <x:v>Task</x:v>
      </x:c>
      <x:c r="D33" s="24" t="str">
        <x:v>Estimator design</x:v>
      </x:c>
      <x:c r="E33" s="24" t="str">
        <x:v>Freeze rule engine, pricing units, confidence and scope</x:v>
      </x:c>
      <x:c r="F33" s="24" t="str">
        <x:v>Shahriar Islam</x:v>
      </x:c>
      <x:c r="G33" s="24" t="str">
        <x:v>Muhtasim, Irfan</x:v>
      </x:c>
      <x:c r="H33" s="25" t="n">
        <x:v>5</x:v>
      </x:c>
      <x:c r="I33" s="26" t="n">
        <x:v>46329</x:v>
      </x:c>
      <x:c r="J33" s="26" t="n">
        <x:v>46334</x:v>
      </x:c>
      <x:c r="K33" s="24" t="str">
        <x:v>M1</x:v>
      </x:c>
      <x:c r="L33" s="24" t="str">
        <x:v>Not started</x:v>
      </x:c>
      <x:c r="M33" s="24" t="str">
        <x:v>Rule specification and worked examples approved</x:v>
      </x:c>
      <x:c r="N33" s="24" t="str">
        <x:v>No ML</x:v>
      </x:c>
      <x:c r="O33" s="37" t="str">
        <x:f t="shared" ref="O33:AC33" si="29">IF(AND($I33&lt;=O$4+6,$J33&gt;=O$4),IF(OR($C33="Milestone",$C33="Gate"),"◆","■"),"")</x:f>
      </x:c>
      <x:c r="P33" s="37" t="str">
        <x:f t="shared" si="29">IF(AND($I33&lt;=P$4+6,$J33&gt;=P$4),IF(OR($C33="Milestone",$C33="Gate"),"◆","■"),"")</x:f>
      </x:c>
      <x:c r="Q33" s="37" t="str">
        <x:f t="shared" si="29">IF(AND($I33&lt;=Q$4+6,$J33&gt;=Q$4),IF(OR($C33="Milestone",$C33="Gate"),"◆","■"),"")</x:f>
      </x:c>
      <x:c r="R33" s="37" t="str">
        <x:f t="shared" si="29">IF(AND($I33&lt;=R$4+6,$J33&gt;=R$4),IF(OR($C33="Milestone",$C33="Gate"),"◆","■"),"")</x:f>
        <x:v>■</x:v>
      </x:c>
      <x:c r="S33" s="37" t="str">
        <x:f t="shared" si="29">IF(AND($I33&lt;=S$4+6,$J33&gt;=S$4),IF(OR($C33="Milestone",$C33="Gate"),"◆","■"),"")</x:f>
      </x:c>
      <x:c r="T33" s="37" t="str">
        <x:f t="shared" si="29">IF(AND($I33&lt;=T$4+6,$J33&gt;=T$4),IF(OR($C33="Milestone",$C33="Gate"),"◆","■"),"")</x:f>
      </x:c>
      <x:c r="U33" s="37" t="str">
        <x:f t="shared" si="29">IF(AND($I33&lt;=U$4+6,$J33&gt;=U$4),IF(OR($C33="Milestone",$C33="Gate"),"◆","■"),"")</x:f>
      </x:c>
      <x:c r="V33" s="37" t="str">
        <x:f t="shared" si="29">IF(AND($I33&lt;=V$4+6,$J33&gt;=V$4),IF(OR($C33="Milestone",$C33="Gate"),"◆","■"),"")</x:f>
      </x:c>
      <x:c r="W33" s="37" t="str">
        <x:f t="shared" si="29">IF(AND($I33&lt;=W$4+6,$J33&gt;=W$4),IF(OR($C33="Milestone",$C33="Gate"),"◆","■"),"")</x:f>
      </x:c>
      <x:c r="X33" s="37" t="str">
        <x:f t="shared" si="29">IF(AND($I33&lt;=X$4+6,$J33&gt;=X$4),IF(OR($C33="Milestone",$C33="Gate"),"◆","■"),"")</x:f>
      </x:c>
      <x:c r="Y33" s="37" t="str">
        <x:f t="shared" si="29">IF(AND($I33&lt;=Y$4+6,$J33&gt;=Y$4),IF(OR($C33="Milestone",$C33="Gate"),"◆","■"),"")</x:f>
      </x:c>
      <x:c r="Z33" s="37" t="str">
        <x:f t="shared" si="29">IF(AND($I33&lt;=Z$4+6,$J33&gt;=Z$4),IF(OR($C33="Milestone",$C33="Gate"),"◆","■"),"")</x:f>
      </x:c>
      <x:c r="AA33" s="37" t="str">
        <x:f t="shared" si="29">IF(AND($I33&lt;=AA$4+6,$J33&gt;=AA$4),IF(OR($C33="Milestone",$C33="Gate"),"◆","■"),"")</x:f>
      </x:c>
      <x:c r="AB33" s="37" t="str">
        <x:f t="shared" si="29">IF(AND($I33&lt;=AB$4+6,$J33&gt;=AB$4),IF(OR($C33="Milestone",$C33="Gate"),"◆","■"),"")</x:f>
      </x:c>
      <x:c r="AC33" s="37" t="str">
        <x:f t="shared" si="29">IF(AND($I33&lt;=AC$4+6,$J33&gt;=AC$4),IF(OR($C33="Milestone",$C33="Gate"),"◆","■"),"")</x:f>
      </x:c>
    </x:row>
    <x:row r="34" ht="34" customHeight="1">
      <x:c r="A34" s="24" t="str">
        <x:v>E02</x:v>
      </x:c>
      <x:c r="B34" s="24" t="str">
        <x:v>M2: Estimator + 55%</x:v>
      </x:c>
      <x:c r="C34" s="24" t="str">
        <x:v>Task</x:v>
      </x:c>
      <x:c r="D34" s="24" t="str">
        <x:v>Seed research</x:v>
      </x:c>
      <x:c r="E34" s="24" t="str">
        <x:v>Research destination A prices and advisories</x:v>
      </x:c>
      <x:c r="F34" s="24" t="str">
        <x:v>Shahriar Islam</x:v>
      </x:c>
      <x:c r="G34" s="24" t="str">
        <x:v>Irfan</x:v>
      </x:c>
      <x:c r="H34" s="25" t="n">
        <x:v>4</x:v>
      </x:c>
      <x:c r="I34" s="26" t="n">
        <x:v>46329</x:v>
      </x:c>
      <x:c r="J34" s="26" t="n">
        <x:v>46340</x:v>
      </x:c>
      <x:c r="K34" s="24" t="str">
        <x:v>E01</x:v>
      </x:c>
      <x:c r="L34" s="24" t="str">
        <x:v>Not started</x:v>
      </x:c>
      <x:c r="M34" s="24" t="str">
        <x:v>Source/date/unit/tier/season recorded</x:v>
      </x:c>
      <x:c r="N34" s="24" t="str">
        <x:v>Validation trips excluded</x:v>
      </x:c>
      <x:c r="O34" s="38" t="str">
        <x:f t="shared" ref="O34:AC34" si="30">IF(AND($I34&lt;=O$4+6,$J34&gt;=O$4),IF(OR($C34="Milestone",$C34="Gate"),"◆","■"),"")</x:f>
      </x:c>
      <x:c r="P34" s="38" t="str">
        <x:f t="shared" si="30">IF(AND($I34&lt;=P$4+6,$J34&gt;=P$4),IF(OR($C34="Milestone",$C34="Gate"),"◆","■"),"")</x:f>
      </x:c>
      <x:c r="Q34" s="38" t="str">
        <x:f t="shared" si="30">IF(AND($I34&lt;=Q$4+6,$J34&gt;=Q$4),IF(OR($C34="Milestone",$C34="Gate"),"◆","■"),"")</x:f>
      </x:c>
      <x:c r="R34" s="38" t="str">
        <x:f t="shared" si="30">IF(AND($I34&lt;=R$4+6,$J34&gt;=R$4),IF(OR($C34="Milestone",$C34="Gate"),"◆","■"),"")</x:f>
        <x:v>■</x:v>
      </x:c>
      <x:c r="S34" s="38" t="str">
        <x:f t="shared" si="30">IF(AND($I34&lt;=S$4+6,$J34&gt;=S$4),IF(OR($C34="Milestone",$C34="Gate"),"◆","■"),"")</x:f>
        <x:v>■</x:v>
      </x:c>
      <x:c r="T34" s="38" t="str">
        <x:f t="shared" si="30">IF(AND($I34&lt;=T$4+6,$J34&gt;=T$4),IF(OR($C34="Milestone",$C34="Gate"),"◆","■"),"")</x:f>
      </x:c>
      <x:c r="U34" s="38" t="str">
        <x:f t="shared" si="30">IF(AND($I34&lt;=U$4+6,$J34&gt;=U$4),IF(OR($C34="Milestone",$C34="Gate"),"◆","■"),"")</x:f>
      </x:c>
      <x:c r="V34" s="38" t="str">
        <x:f t="shared" si="30">IF(AND($I34&lt;=V$4+6,$J34&gt;=V$4),IF(OR($C34="Milestone",$C34="Gate"),"◆","■"),"")</x:f>
      </x:c>
      <x:c r="W34" s="38" t="str">
        <x:f t="shared" si="30">IF(AND($I34&lt;=W$4+6,$J34&gt;=W$4),IF(OR($C34="Milestone",$C34="Gate"),"◆","■"),"")</x:f>
      </x:c>
      <x:c r="X34" s="38" t="str">
        <x:f t="shared" si="30">IF(AND($I34&lt;=X$4+6,$J34&gt;=X$4),IF(OR($C34="Milestone",$C34="Gate"),"◆","■"),"")</x:f>
      </x:c>
      <x:c r="Y34" s="38" t="str">
        <x:f t="shared" si="30">IF(AND($I34&lt;=Y$4+6,$J34&gt;=Y$4),IF(OR($C34="Milestone",$C34="Gate"),"◆","■"),"")</x:f>
      </x:c>
      <x:c r="Z34" s="38" t="str">
        <x:f t="shared" si="30">IF(AND($I34&lt;=Z$4+6,$J34&gt;=Z$4),IF(OR($C34="Milestone",$C34="Gate"),"◆","■"),"")</x:f>
      </x:c>
      <x:c r="AA34" s="38" t="str">
        <x:f t="shared" si="30">IF(AND($I34&lt;=AA$4+6,$J34&gt;=AA$4),IF(OR($C34="Milestone",$C34="Gate"),"◆","■"),"")</x:f>
      </x:c>
      <x:c r="AB34" s="38" t="str">
        <x:f t="shared" si="30">IF(AND($I34&lt;=AB$4+6,$J34&gt;=AB$4),IF(OR($C34="Milestone",$C34="Gate"),"◆","■"),"")</x:f>
      </x:c>
      <x:c r="AC34" s="38" t="str">
        <x:f t="shared" si="30">IF(AND($I34&lt;=AC$4+6,$J34&gt;=AC$4),IF(OR($C34="Milestone",$C34="Gate"),"◆","■"),"")</x:f>
      </x:c>
    </x:row>
    <x:row r="35" ht="34" customHeight="1">
      <x:c r="A35" s="24" t="str">
        <x:v>E03</x:v>
      </x:c>
      <x:c r="B35" s="24" t="str">
        <x:v>M2: Estimator + 55%</x:v>
      </x:c>
      <x:c r="C35" s="24" t="str">
        <x:v>Task</x:v>
      </x:c>
      <x:c r="D35" s="24" t="str">
        <x:v>Seed research</x:v>
      </x:c>
      <x:c r="E35" s="24" t="str">
        <x:v>Research destination B prices and advisories</x:v>
      </x:c>
      <x:c r="F35" s="24" t="str">
        <x:v>Abdullah Bin Sorwar Choudhury</x:v>
      </x:c>
      <x:c r="G35" s="24" t="str">
        <x:v>Shahriar</x:v>
      </x:c>
      <x:c r="H35" s="25" t="n">
        <x:v>4</x:v>
      </x:c>
      <x:c r="I35" s="26" t="n">
        <x:v>46329</x:v>
      </x:c>
      <x:c r="J35" s="26" t="n">
        <x:v>46340</x:v>
      </x:c>
      <x:c r="K35" s="24" t="str">
        <x:v>E01</x:v>
      </x:c>
      <x:c r="L35" s="24" t="str">
        <x:v>Not started</x:v>
      </x:c>
      <x:c r="M35" s="24" t="str">
        <x:v>Source/date/unit/tier/season recorded</x:v>
      </x:c>
      <x:c r="N35" s="24" t="str">
        <x:v>Validation trips excluded</x:v>
      </x:c>
      <x:c r="O35" s="37" t="str">
        <x:f t="shared" ref="O35:AC35" si="31">IF(AND($I35&lt;=O$4+6,$J35&gt;=O$4),IF(OR($C35="Milestone",$C35="Gate"),"◆","■"),"")</x:f>
      </x:c>
      <x:c r="P35" s="37" t="str">
        <x:f t="shared" si="31">IF(AND($I35&lt;=P$4+6,$J35&gt;=P$4),IF(OR($C35="Milestone",$C35="Gate"),"◆","■"),"")</x:f>
      </x:c>
      <x:c r="Q35" s="37" t="str">
        <x:f t="shared" si="31">IF(AND($I35&lt;=Q$4+6,$J35&gt;=Q$4),IF(OR($C35="Milestone",$C35="Gate"),"◆","■"),"")</x:f>
      </x:c>
      <x:c r="R35" s="37" t="str">
        <x:f t="shared" si="31">IF(AND($I35&lt;=R$4+6,$J35&gt;=R$4),IF(OR($C35="Milestone",$C35="Gate"),"◆","■"),"")</x:f>
        <x:v>■</x:v>
      </x:c>
      <x:c r="S35" s="37" t="str">
        <x:f t="shared" si="31">IF(AND($I35&lt;=S$4+6,$J35&gt;=S$4),IF(OR($C35="Milestone",$C35="Gate"),"◆","■"),"")</x:f>
        <x:v>■</x:v>
      </x:c>
      <x:c r="T35" s="37" t="str">
        <x:f t="shared" si="31">IF(AND($I35&lt;=T$4+6,$J35&gt;=T$4),IF(OR($C35="Milestone",$C35="Gate"),"◆","■"),"")</x:f>
      </x:c>
      <x:c r="U35" s="37" t="str">
        <x:f t="shared" si="31">IF(AND($I35&lt;=U$4+6,$J35&gt;=U$4),IF(OR($C35="Milestone",$C35="Gate"),"◆","■"),"")</x:f>
      </x:c>
      <x:c r="V35" s="37" t="str">
        <x:f t="shared" si="31">IF(AND($I35&lt;=V$4+6,$J35&gt;=V$4),IF(OR($C35="Milestone",$C35="Gate"),"◆","■"),"")</x:f>
      </x:c>
      <x:c r="W35" s="37" t="str">
        <x:f t="shared" si="31">IF(AND($I35&lt;=W$4+6,$J35&gt;=W$4),IF(OR($C35="Milestone",$C35="Gate"),"◆","■"),"")</x:f>
      </x:c>
      <x:c r="X35" s="37" t="str">
        <x:f t="shared" si="31">IF(AND($I35&lt;=X$4+6,$J35&gt;=X$4),IF(OR($C35="Milestone",$C35="Gate"),"◆","■"),"")</x:f>
      </x:c>
      <x:c r="Y35" s="37" t="str">
        <x:f t="shared" si="31">IF(AND($I35&lt;=Y$4+6,$J35&gt;=Y$4),IF(OR($C35="Milestone",$C35="Gate"),"◆","■"),"")</x:f>
      </x:c>
      <x:c r="Z35" s="37" t="str">
        <x:f t="shared" si="31">IF(AND($I35&lt;=Z$4+6,$J35&gt;=Z$4),IF(OR($C35="Milestone",$C35="Gate"),"◆","■"),"")</x:f>
      </x:c>
      <x:c r="AA35" s="37" t="str">
        <x:f t="shared" si="31">IF(AND($I35&lt;=AA$4+6,$J35&gt;=AA$4),IF(OR($C35="Milestone",$C35="Gate"),"◆","■"),"")</x:f>
      </x:c>
      <x:c r="AB35" s="37" t="str">
        <x:f t="shared" si="31">IF(AND($I35&lt;=AB$4+6,$J35&gt;=AB$4),IF(OR($C35="Milestone",$C35="Gate"),"◆","■"),"")</x:f>
      </x:c>
      <x:c r="AC35" s="37" t="str">
        <x:f t="shared" si="31">IF(AND($I35&lt;=AC$4+6,$J35&gt;=AC$4),IF(OR($C35="Milestone",$C35="Gate"),"◆","■"),"")</x:f>
      </x:c>
    </x:row>
    <x:row r="36" ht="34" customHeight="1">
      <x:c r="A36" s="24" t="str">
        <x:v>E04</x:v>
      </x:c>
      <x:c r="B36" s="24" t="str">
        <x:v>M2: Estimator + 55%</x:v>
      </x:c>
      <x:c r="C36" s="24" t="str">
        <x:v>Task</x:v>
      </x:c>
      <x:c r="D36" s="24" t="str">
        <x:v>Seed research</x:v>
      </x:c>
      <x:c r="E36" s="24" t="str">
        <x:v>Research destination C prices and advisories</x:v>
      </x:c>
      <x:c r="F36" s="24" t="str">
        <x:v>Syed Muhtasim Alam</x:v>
      </x:c>
      <x:c r="G36" s="24" t="str">
        <x:v>Shahriar</x:v>
      </x:c>
      <x:c r="H36" s="25" t="n">
        <x:v>4</x:v>
      </x:c>
      <x:c r="I36" s="26" t="n">
        <x:v>46329</x:v>
      </x:c>
      <x:c r="J36" s="26" t="n">
        <x:v>46340</x:v>
      </x:c>
      <x:c r="K36" s="24" t="str">
        <x:v>E01</x:v>
      </x:c>
      <x:c r="L36" s="24" t="str">
        <x:v>Not started</x:v>
      </x:c>
      <x:c r="M36" s="24" t="str">
        <x:v>Source/date/unit/tier/season recorded</x:v>
      </x:c>
      <x:c r="N36" s="24" t="str">
        <x:v>Validation trips excluded</x:v>
      </x:c>
      <x:c r="O36" s="38" t="str">
        <x:f t="shared" ref="O36:AC36" si="32">IF(AND($I36&lt;=O$4+6,$J36&gt;=O$4),IF(OR($C36="Milestone",$C36="Gate"),"◆","■"),"")</x:f>
      </x:c>
      <x:c r="P36" s="38" t="str">
        <x:f t="shared" si="32">IF(AND($I36&lt;=P$4+6,$J36&gt;=P$4),IF(OR($C36="Milestone",$C36="Gate"),"◆","■"),"")</x:f>
      </x:c>
      <x:c r="Q36" s="38" t="str">
        <x:f t="shared" si="32">IF(AND($I36&lt;=Q$4+6,$J36&gt;=Q$4),IF(OR($C36="Milestone",$C36="Gate"),"◆","■"),"")</x:f>
      </x:c>
      <x:c r="R36" s="38" t="str">
        <x:f t="shared" si="32">IF(AND($I36&lt;=R$4+6,$J36&gt;=R$4),IF(OR($C36="Milestone",$C36="Gate"),"◆","■"),"")</x:f>
        <x:v>■</x:v>
      </x:c>
      <x:c r="S36" s="38" t="str">
        <x:f t="shared" si="32">IF(AND($I36&lt;=S$4+6,$J36&gt;=S$4),IF(OR($C36="Milestone",$C36="Gate"),"◆","■"),"")</x:f>
        <x:v>■</x:v>
      </x:c>
      <x:c r="T36" s="38" t="str">
        <x:f t="shared" si="32">IF(AND($I36&lt;=T$4+6,$J36&gt;=T$4),IF(OR($C36="Milestone",$C36="Gate"),"◆","■"),"")</x:f>
      </x:c>
      <x:c r="U36" s="38" t="str">
        <x:f t="shared" si="32">IF(AND($I36&lt;=U$4+6,$J36&gt;=U$4),IF(OR($C36="Milestone",$C36="Gate"),"◆","■"),"")</x:f>
      </x:c>
      <x:c r="V36" s="38" t="str">
        <x:f t="shared" si="32">IF(AND($I36&lt;=V$4+6,$J36&gt;=V$4),IF(OR($C36="Milestone",$C36="Gate"),"◆","■"),"")</x:f>
      </x:c>
      <x:c r="W36" s="38" t="str">
        <x:f t="shared" si="32">IF(AND($I36&lt;=W$4+6,$J36&gt;=W$4),IF(OR($C36="Milestone",$C36="Gate"),"◆","■"),"")</x:f>
      </x:c>
      <x:c r="X36" s="38" t="str">
        <x:f t="shared" si="32">IF(AND($I36&lt;=X$4+6,$J36&gt;=X$4),IF(OR($C36="Milestone",$C36="Gate"),"◆","■"),"")</x:f>
      </x:c>
      <x:c r="Y36" s="38" t="str">
        <x:f t="shared" si="32">IF(AND($I36&lt;=Y$4+6,$J36&gt;=Y$4),IF(OR($C36="Milestone",$C36="Gate"),"◆","■"),"")</x:f>
      </x:c>
      <x:c r="Z36" s="38" t="str">
        <x:f t="shared" si="32">IF(AND($I36&lt;=Z$4+6,$J36&gt;=Z$4),IF(OR($C36="Milestone",$C36="Gate"),"◆","■"),"")</x:f>
      </x:c>
      <x:c r="AA36" s="38" t="str">
        <x:f t="shared" si="32">IF(AND($I36&lt;=AA$4+6,$J36&gt;=AA$4),IF(OR($C36="Milestone",$C36="Gate"),"◆","■"),"")</x:f>
      </x:c>
      <x:c r="AB36" s="38" t="str">
        <x:f t="shared" si="32">IF(AND($I36&lt;=AB$4+6,$J36&gt;=AB$4),IF(OR($C36="Milestone",$C36="Gate"),"◆","■"),"")</x:f>
      </x:c>
      <x:c r="AC36" s="38" t="str">
        <x:f t="shared" si="32">IF(AND($I36&lt;=AC$4+6,$J36&gt;=AC$4),IF(OR($C36="Milestone",$C36="Gate"),"◆","■"),"")</x:f>
      </x:c>
    </x:row>
    <x:row r="37" ht="34" customHeight="1">
      <x:c r="A37" s="24" t="str">
        <x:v>E05</x:v>
      </x:c>
      <x:c r="B37" s="24" t="str">
        <x:v>M2: Estimator + 55%</x:v>
      </x:c>
      <x:c r="C37" s="24" t="str">
        <x:v>Task</x:v>
      </x:c>
      <x:c r="D37" s="24" t="str">
        <x:v>Seed research</x:v>
      </x:c>
      <x:c r="E37" s="24" t="str">
        <x:v>Research destination D prices and advisories</x:v>
      </x:c>
      <x:c r="F37" s="24" t="str">
        <x:v>Md. Irfan Iqbal</x:v>
      </x:c>
      <x:c r="G37" s="24" t="str">
        <x:v>Shahriar</x:v>
      </x:c>
      <x:c r="H37" s="25" t="n">
        <x:v>4</x:v>
      </x:c>
      <x:c r="I37" s="26" t="n">
        <x:v>46329</x:v>
      </x:c>
      <x:c r="J37" s="26" t="n">
        <x:v>46340</x:v>
      </x:c>
      <x:c r="K37" s="24" t="str">
        <x:v>E01</x:v>
      </x:c>
      <x:c r="L37" s="24" t="str">
        <x:v>Not started</x:v>
      </x:c>
      <x:c r="M37" s="24" t="str">
        <x:v>Independent source/date/unit/tier/season review</x:v>
      </x:c>
      <x:c r="N37" s="24" t="str">
        <x:v>Validation trips remain sealed</x:v>
      </x:c>
      <x:c r="O37" s="37" t="str">
        <x:f t="shared" ref="O37:AC37" si="33">IF(AND($I37&lt;=O$4+6,$J37&gt;=O$4),IF(OR($C37="Milestone",$C37="Gate"),"◆","■"),"")</x:f>
      </x:c>
      <x:c r="P37" s="37" t="str">
        <x:f t="shared" si="33">IF(AND($I37&lt;=P$4+6,$J37&gt;=P$4),IF(OR($C37="Milestone",$C37="Gate"),"◆","■"),"")</x:f>
      </x:c>
      <x:c r="Q37" s="37" t="str">
        <x:f t="shared" si="33">IF(AND($I37&lt;=Q$4+6,$J37&gt;=Q$4),IF(OR($C37="Milestone",$C37="Gate"),"◆","■"),"")</x:f>
      </x:c>
      <x:c r="R37" s="37" t="str">
        <x:f t="shared" si="33">IF(AND($I37&lt;=R$4+6,$J37&gt;=R$4),IF(OR($C37="Milestone",$C37="Gate"),"◆","■"),"")</x:f>
        <x:v>■</x:v>
      </x:c>
      <x:c r="S37" s="37" t="str">
        <x:f t="shared" si="33">IF(AND($I37&lt;=S$4+6,$J37&gt;=S$4),IF(OR($C37="Milestone",$C37="Gate"),"◆","■"),"")</x:f>
        <x:v>■</x:v>
      </x:c>
      <x:c r="T37" s="37" t="str">
        <x:f t="shared" si="33">IF(AND($I37&lt;=T$4+6,$J37&gt;=T$4),IF(OR($C37="Milestone",$C37="Gate"),"◆","■"),"")</x:f>
      </x:c>
      <x:c r="U37" s="37" t="str">
        <x:f t="shared" si="33">IF(AND($I37&lt;=U$4+6,$J37&gt;=U$4),IF(OR($C37="Milestone",$C37="Gate"),"◆","■"),"")</x:f>
      </x:c>
      <x:c r="V37" s="37" t="str">
        <x:f t="shared" si="33">IF(AND($I37&lt;=V$4+6,$J37&gt;=V$4),IF(OR($C37="Milestone",$C37="Gate"),"◆","■"),"")</x:f>
      </x:c>
      <x:c r="W37" s="37" t="str">
        <x:f t="shared" si="33">IF(AND($I37&lt;=W$4+6,$J37&gt;=W$4),IF(OR($C37="Milestone",$C37="Gate"),"◆","■"),"")</x:f>
      </x:c>
      <x:c r="X37" s="37" t="str">
        <x:f t="shared" si="33">IF(AND($I37&lt;=X$4+6,$J37&gt;=X$4),IF(OR($C37="Milestone",$C37="Gate"),"◆","■"),"")</x:f>
      </x:c>
      <x:c r="Y37" s="37" t="str">
        <x:f t="shared" si="33">IF(AND($I37&lt;=Y$4+6,$J37&gt;=Y$4),IF(OR($C37="Milestone",$C37="Gate"),"◆","■"),"")</x:f>
      </x:c>
      <x:c r="Z37" s="37" t="str">
        <x:f t="shared" si="33">IF(AND($I37&lt;=Z$4+6,$J37&gt;=Z$4),IF(OR($C37="Milestone",$C37="Gate"),"◆","■"),"")</x:f>
      </x:c>
      <x:c r="AA37" s="37" t="str">
        <x:f t="shared" si="33">IF(AND($I37&lt;=AA$4+6,$J37&gt;=AA$4),IF(OR($C37="Milestone",$C37="Gate"),"◆","■"),"")</x:f>
      </x:c>
      <x:c r="AB37" s="37" t="str">
        <x:f t="shared" si="33">IF(AND($I37&lt;=AB$4+6,$J37&gt;=AB$4),IF(OR($C37="Milestone",$C37="Gate"),"◆","■"),"")</x:f>
      </x:c>
      <x:c r="AC37" s="37" t="str">
        <x:f t="shared" si="33">IF(AND($I37&lt;=AC$4+6,$J37&gt;=AC$4),IF(OR($C37="Milestone",$C37="Gate"),"◆","■"),"")</x:f>
      </x:c>
    </x:row>
    <x:row r="38" ht="34" customHeight="1">
      <x:c r="A38" s="24" t="str">
        <x:v>E06</x:v>
      </x:c>
      <x:c r="B38" s="24" t="str">
        <x:v>M2: Estimator + 55%</x:v>
      </x:c>
      <x:c r="C38" s="24" t="str">
        <x:v>Task</x:v>
      </x:c>
      <x:c r="D38" s="24" t="str">
        <x:v>Pricing catalogue</x:v>
      </x:c>
      <x:c r="E38" s="24" t="str">
        <x:v>Implement pricing catalogue, units, season and freshness model</x:v>
      </x:c>
      <x:c r="F38" s="24" t="str">
        <x:v>Syed Muhtasim Alam</x:v>
      </x:c>
      <x:c r="G38" s="24" t="str">
        <x:v>Shahriar</x:v>
      </x:c>
      <x:c r="H38" s="25" t="n">
        <x:v>6</x:v>
      </x:c>
      <x:c r="I38" s="26" t="n">
        <x:v>46335</x:v>
      </x:c>
      <x:c r="J38" s="26" t="n">
        <x:v>46348</x:v>
      </x:c>
      <x:c r="K38" s="24" t="str">
        <x:v>E01,E02,E03,E04,E05</x:v>
      </x:c>
      <x:c r="L38" s="24" t="str">
        <x:v>Not started</x:v>
      </x:c>
      <x:c r="M38" s="24" t="str">
        <x:v>Per-person/room/vehicle/group/day rules tested</x:v>
      </x:c>
      <x:c r="N38" s="24" t="str">
        <x:v>Official fixed prices take priority</x:v>
      </x:c>
      <x:c r="O38" s="38" t="str">
        <x:f t="shared" ref="O38:AC38" si="34">IF(AND($I38&lt;=O$4+6,$J38&gt;=O$4),IF(OR($C38="Milestone",$C38="Gate"),"◆","■"),"")</x:f>
      </x:c>
      <x:c r="P38" s="38" t="str">
        <x:f t="shared" si="34">IF(AND($I38&lt;=P$4+6,$J38&gt;=P$4),IF(OR($C38="Milestone",$C38="Gate"),"◆","■"),"")</x:f>
      </x:c>
      <x:c r="Q38" s="38" t="str">
        <x:f t="shared" si="34">IF(AND($I38&lt;=Q$4+6,$J38&gt;=Q$4),IF(OR($C38="Milestone",$C38="Gate"),"◆","■"),"")</x:f>
      </x:c>
      <x:c r="R38" s="38" t="str">
        <x:f t="shared" si="34">IF(AND($I38&lt;=R$4+6,$J38&gt;=R$4),IF(OR($C38="Milestone",$C38="Gate"),"◆","■"),"")</x:f>
      </x:c>
      <x:c r="S38" s="38" t="str">
        <x:f t="shared" si="34">IF(AND($I38&lt;=S$4+6,$J38&gt;=S$4),IF(OR($C38="Milestone",$C38="Gate"),"◆","■"),"")</x:f>
        <x:v>■</x:v>
      </x:c>
      <x:c r="T38" s="38" t="str">
        <x:f t="shared" si="34">IF(AND($I38&lt;=T$4+6,$J38&gt;=T$4),IF(OR($C38="Milestone",$C38="Gate"),"◆","■"),"")</x:f>
        <x:v>■</x:v>
      </x:c>
      <x:c r="U38" s="38" t="str">
        <x:f t="shared" si="34">IF(AND($I38&lt;=U$4+6,$J38&gt;=U$4),IF(OR($C38="Milestone",$C38="Gate"),"◆","■"),"")</x:f>
      </x:c>
      <x:c r="V38" s="38" t="str">
        <x:f t="shared" si="34">IF(AND($I38&lt;=V$4+6,$J38&gt;=V$4),IF(OR($C38="Milestone",$C38="Gate"),"◆","■"),"")</x:f>
      </x:c>
      <x:c r="W38" s="38" t="str">
        <x:f t="shared" si="34">IF(AND($I38&lt;=W$4+6,$J38&gt;=W$4),IF(OR($C38="Milestone",$C38="Gate"),"◆","■"),"")</x:f>
      </x:c>
      <x:c r="X38" s="38" t="str">
        <x:f t="shared" si="34">IF(AND($I38&lt;=X$4+6,$J38&gt;=X$4),IF(OR($C38="Milestone",$C38="Gate"),"◆","■"),"")</x:f>
      </x:c>
      <x:c r="Y38" s="38" t="str">
        <x:f t="shared" si="34">IF(AND($I38&lt;=Y$4+6,$J38&gt;=Y$4),IF(OR($C38="Milestone",$C38="Gate"),"◆","■"),"")</x:f>
      </x:c>
      <x:c r="Z38" s="38" t="str">
        <x:f t="shared" si="34">IF(AND($I38&lt;=Z$4+6,$J38&gt;=Z$4),IF(OR($C38="Milestone",$C38="Gate"),"◆","■"),"")</x:f>
      </x:c>
      <x:c r="AA38" s="38" t="str">
        <x:f t="shared" si="34">IF(AND($I38&lt;=AA$4+6,$J38&gt;=AA$4),IF(OR($C38="Milestone",$C38="Gate"),"◆","■"),"")</x:f>
      </x:c>
      <x:c r="AB38" s="38" t="str">
        <x:f t="shared" si="34">IF(AND($I38&lt;=AB$4+6,$J38&gt;=AB$4),IF(OR($C38="Milestone",$C38="Gate"),"◆","■"),"")</x:f>
      </x:c>
      <x:c r="AC38" s="38" t="str">
        <x:f t="shared" si="34">IF(AND($I38&lt;=AC$4+6,$J38&gt;=AC$4),IF(OR($C38="Milestone",$C38="Gate"),"◆","■"),"")</x:f>
      </x:c>
    </x:row>
    <x:row r="39" ht="34" customHeight="1">
      <x:c r="A39" s="24" t="str">
        <x:v>E07</x:v>
      </x:c>
      <x:c r="B39" s="24" t="str">
        <x:v>M2: Estimator + 55%</x:v>
      </x:c>
      <x:c r="C39" s="24" t="str">
        <x:v>Task</x:v>
      </x:c>
      <x:c r="D39" s="24" t="str">
        <x:v>Estimator API</x:v>
      </x:c>
      <x:c r="E39" s="24" t="str">
        <x:v>Implement itemized rule engine and confidence calculation</x:v>
      </x:c>
      <x:c r="F39" s="24" t="str">
        <x:v>Syed Muhtasim Alam</x:v>
      </x:c>
      <x:c r="G39" s="24" t="str">
        <x:v>Irfan</x:v>
      </x:c>
      <x:c r="H39" s="25" t="n">
        <x:v>7</x:v>
      </x:c>
      <x:c r="I39" s="26" t="n">
        <x:v>46342</x:v>
      </x:c>
      <x:c r="J39" s="26" t="n">
        <x:v>46355</x:v>
      </x:c>
      <x:c r="K39" s="24" t="str">
        <x:v>E06</x:v>
      </x:c>
      <x:c r="L39" s="24" t="str">
        <x:v>Not started</x:v>
      </x:c>
      <x:c r="M39" s="24" t="str">
        <x:v>Representative hand calculations match API</x:v>
      </x:c>
      <x:c r="N39" s="24" t="str">
        <x:v>Stale flagged; expired excluded</x:v>
      </x:c>
      <x:c r="O39" s="37" t="str">
        <x:f t="shared" ref="O39:AC39" si="35">IF(AND($I39&lt;=O$4+6,$J39&gt;=O$4),IF(OR($C39="Milestone",$C39="Gate"),"◆","■"),"")</x:f>
      </x:c>
      <x:c r="P39" s="37" t="str">
        <x:f t="shared" si="35">IF(AND($I39&lt;=P$4+6,$J39&gt;=P$4),IF(OR($C39="Milestone",$C39="Gate"),"◆","■"),"")</x:f>
      </x:c>
      <x:c r="Q39" s="37" t="str">
        <x:f t="shared" si="35">IF(AND($I39&lt;=Q$4+6,$J39&gt;=Q$4),IF(OR($C39="Milestone",$C39="Gate"),"◆","■"),"")</x:f>
      </x:c>
      <x:c r="R39" s="37" t="str">
        <x:f t="shared" si="35">IF(AND($I39&lt;=R$4+6,$J39&gt;=R$4),IF(OR($C39="Milestone",$C39="Gate"),"◆","■"),"")</x:f>
      </x:c>
      <x:c r="S39" s="37" t="str">
        <x:f t="shared" si="35">IF(AND($I39&lt;=S$4+6,$J39&gt;=S$4),IF(OR($C39="Milestone",$C39="Gate"),"◆","■"),"")</x:f>
      </x:c>
      <x:c r="T39" s="37" t="str">
        <x:f t="shared" si="35">IF(AND($I39&lt;=T$4+6,$J39&gt;=T$4),IF(OR($C39="Milestone",$C39="Gate"),"◆","■"),"")</x:f>
        <x:v>■</x:v>
      </x:c>
      <x:c r="U39" s="37" t="str">
        <x:f t="shared" si="35">IF(AND($I39&lt;=U$4+6,$J39&gt;=U$4),IF(OR($C39="Milestone",$C39="Gate"),"◆","■"),"")</x:f>
        <x:v>■</x:v>
      </x:c>
      <x:c r="V39" s="37" t="str">
        <x:f t="shared" si="35">IF(AND($I39&lt;=V$4+6,$J39&gt;=V$4),IF(OR($C39="Milestone",$C39="Gate"),"◆","■"),"")</x:f>
      </x:c>
      <x:c r="W39" s="37" t="str">
        <x:f t="shared" si="35">IF(AND($I39&lt;=W$4+6,$J39&gt;=W$4),IF(OR($C39="Milestone",$C39="Gate"),"◆","■"),"")</x:f>
      </x:c>
      <x:c r="X39" s="37" t="str">
        <x:f t="shared" si="35">IF(AND($I39&lt;=X$4+6,$J39&gt;=X$4),IF(OR($C39="Milestone",$C39="Gate"),"◆","■"),"")</x:f>
      </x:c>
      <x:c r="Y39" s="37" t="str">
        <x:f t="shared" si="35">IF(AND($I39&lt;=Y$4+6,$J39&gt;=Y$4),IF(OR($C39="Milestone",$C39="Gate"),"◆","■"),"")</x:f>
      </x:c>
      <x:c r="Z39" s="37" t="str">
        <x:f t="shared" si="35">IF(AND($I39&lt;=Z$4+6,$J39&gt;=Z$4),IF(OR($C39="Milestone",$C39="Gate"),"◆","■"),"")</x:f>
      </x:c>
      <x:c r="AA39" s="37" t="str">
        <x:f t="shared" si="35">IF(AND($I39&lt;=AA$4+6,$J39&gt;=AA$4),IF(OR($C39="Milestone",$C39="Gate"),"◆","■"),"")</x:f>
      </x:c>
      <x:c r="AB39" s="37" t="str">
        <x:f t="shared" si="35">IF(AND($I39&lt;=AB$4+6,$J39&gt;=AB$4),IF(OR($C39="Milestone",$C39="Gate"),"◆","■"),"")</x:f>
      </x:c>
      <x:c r="AC39" s="37" t="str">
        <x:f t="shared" si="35">IF(AND($I39&lt;=AC$4+6,$J39&gt;=AC$4),IF(OR($C39="Milestone",$C39="Gate"),"◆","■"),"")</x:f>
      </x:c>
    </x:row>
    <x:row r="40" ht="34" customHeight="1">
      <x:c r="A40" s="24" t="str">
        <x:v>E08</x:v>
      </x:c>
      <x:c r="B40" s="24" t="str">
        <x:v>M2: Estimator + 55%</x:v>
      </x:c>
      <x:c r="C40" s="24" t="str">
        <x:v>Task</x:v>
      </x:c>
      <x:c r="D40" s="24" t="str">
        <x:v>Estimator UI</x:v>
      </x:c>
      <x:c r="E40" s="24" t="str">
        <x:v>Build traveller-context input and itemized result screens</x:v>
      </x:c>
      <x:c r="F40" s="24" t="str">
        <x:v>Abdullah Bin Sorwar Choudhury</x:v>
      </x:c>
      <x:c r="G40" s="24" t="str">
        <x:v>Muhtasim</x:v>
      </x:c>
      <x:c r="H40" s="25" t="n">
        <x:v>7</x:v>
      </x:c>
      <x:c r="I40" s="26" t="n">
        <x:v>46342</x:v>
      </x:c>
      <x:c r="J40" s="26" t="n">
        <x:v>46356</x:v>
      </x:c>
      <x:c r="K40" s="24" t="str">
        <x:v>E01,E07</x:v>
      </x:c>
      <x:c r="L40" s="24" t="str">
        <x:v>Not started</x:v>
      </x:c>
      <x:c r="M40" s="24" t="str">
        <x:v>Shows assumptions, sources, dates and confidence</x:v>
      </x:c>
      <x:c r="N40" s="24" t="str">
        <x:v>Works in Bangla and English</x:v>
      </x:c>
      <x:c r="O40" s="38" t="str">
        <x:f t="shared" ref="O40:AC40" si="36">IF(AND($I40&lt;=O$4+6,$J40&gt;=O$4),IF(OR($C40="Milestone",$C40="Gate"),"◆","■"),"")</x:f>
      </x:c>
      <x:c r="P40" s="38" t="str">
        <x:f t="shared" si="36">IF(AND($I40&lt;=P$4+6,$J40&gt;=P$4),IF(OR($C40="Milestone",$C40="Gate"),"◆","■"),"")</x:f>
      </x:c>
      <x:c r="Q40" s="38" t="str">
        <x:f t="shared" si="36">IF(AND($I40&lt;=Q$4+6,$J40&gt;=Q$4),IF(OR($C40="Milestone",$C40="Gate"),"◆","■"),"")</x:f>
      </x:c>
      <x:c r="R40" s="38" t="str">
        <x:f t="shared" si="36">IF(AND($I40&lt;=R$4+6,$J40&gt;=R$4),IF(OR($C40="Milestone",$C40="Gate"),"◆","■"),"")</x:f>
      </x:c>
      <x:c r="S40" s="38" t="str">
        <x:f t="shared" si="36">IF(AND($I40&lt;=S$4+6,$J40&gt;=S$4),IF(OR($C40="Milestone",$C40="Gate"),"◆","■"),"")</x:f>
      </x:c>
      <x:c r="T40" s="38" t="str">
        <x:f t="shared" si="36">IF(AND($I40&lt;=T$4+6,$J40&gt;=T$4),IF(OR($C40="Milestone",$C40="Gate"),"◆","■"),"")</x:f>
        <x:v>■</x:v>
      </x:c>
      <x:c r="U40" s="38" t="str">
        <x:f t="shared" si="36">IF(AND($I40&lt;=U$4+6,$J40&gt;=U$4),IF(OR($C40="Milestone",$C40="Gate"),"◆","■"),"")</x:f>
        <x:v>■</x:v>
      </x:c>
      <x:c r="V40" s="38" t="str">
        <x:f t="shared" si="36">IF(AND($I40&lt;=V$4+6,$J40&gt;=V$4),IF(OR($C40="Milestone",$C40="Gate"),"◆","■"),"")</x:f>
        <x:v>■</x:v>
      </x:c>
      <x:c r="W40" s="38" t="str">
        <x:f t="shared" si="36">IF(AND($I40&lt;=W$4+6,$J40&gt;=W$4),IF(OR($C40="Milestone",$C40="Gate"),"◆","■"),"")</x:f>
      </x:c>
      <x:c r="X40" s="38" t="str">
        <x:f t="shared" si="36">IF(AND($I40&lt;=X$4+6,$J40&gt;=X$4),IF(OR($C40="Milestone",$C40="Gate"),"◆","■"),"")</x:f>
      </x:c>
      <x:c r="Y40" s="38" t="str">
        <x:f t="shared" si="36">IF(AND($I40&lt;=Y$4+6,$J40&gt;=Y$4),IF(OR($C40="Milestone",$C40="Gate"),"◆","■"),"")</x:f>
      </x:c>
      <x:c r="Z40" s="38" t="str">
        <x:f t="shared" si="36">IF(AND($I40&lt;=Z$4+6,$J40&gt;=Z$4),IF(OR($C40="Milestone",$C40="Gate"),"◆","■"),"")</x:f>
      </x:c>
      <x:c r="AA40" s="38" t="str">
        <x:f t="shared" si="36">IF(AND($I40&lt;=AA$4+6,$J40&gt;=AA$4),IF(OR($C40="Milestone",$C40="Gate"),"◆","■"),"")</x:f>
      </x:c>
      <x:c r="AB40" s="38" t="str">
        <x:f t="shared" si="36">IF(AND($I40&lt;=AB$4+6,$J40&gt;=AB$4),IF(OR($C40="Milestone",$C40="Gate"),"◆","■"),"")</x:f>
      </x:c>
      <x:c r="AC40" s="38" t="str">
        <x:f t="shared" si="36">IF(AND($I40&lt;=AC$4+6,$J40&gt;=AC$4),IF(OR($C40="Milestone",$C40="Gate"),"◆","■"),"")</x:f>
      </x:c>
    </x:row>
    <x:row r="41" ht="34" customHeight="1">
      <x:c r="A41" s="24" t="str">
        <x:v>E09</x:v>
      </x:c>
      <x:c r="B41" s="24" t="str">
        <x:v>M2: Estimator + 55%</x:v>
      </x:c>
      <x:c r="C41" s="24" t="str">
        <x:v>Task</x:v>
      </x:c>
      <x:c r="D41" s="24" t="str">
        <x:v>Saved trip brief</x:v>
      </x:c>
      <x:c r="E41" s="24" t="str">
        <x:v>Save estimate, notes and optional contacts; include in offline pack</x:v>
      </x:c>
      <x:c r="F41" s="24" t="str">
        <x:v>Abdullah Bin Sorwar Choudhury</x:v>
      </x:c>
      <x:c r="G41" s="24" t="str">
        <x:v>Muhtasim, Irfan</x:v>
      </x:c>
      <x:c r="H41" s="25" t="n">
        <x:v>5</x:v>
      </x:c>
      <x:c r="I41" s="26" t="n">
        <x:v>46349</x:v>
      </x:c>
      <x:c r="J41" s="26" t="n">
        <x:v>46359</x:v>
      </x:c>
      <x:c r="K41" s="24" t="str">
        <x:v>E08,R13</x:v>
      </x:c>
      <x:c r="L41" s="24" t="str">
        <x:v>Not started</x:v>
      </x:c>
      <x:c r="M41" s="24" t="str">
        <x:v>Reopen/copy/delete works online and offline</x:v>
      </x:c>
      <x:c r="N41" s="24" t="str">
        <x:v>Not a day-by-day itinerary</x:v>
      </x:c>
      <x:c r="O41" s="37" t="str">
        <x:f t="shared" ref="O41:AC41" si="37">IF(AND($I41&lt;=O$4+6,$J41&gt;=O$4),IF(OR($C41="Milestone",$C41="Gate"),"◆","■"),"")</x:f>
      </x:c>
      <x:c r="P41" s="37" t="str">
        <x:f t="shared" si="37">IF(AND($I41&lt;=P$4+6,$J41&gt;=P$4),IF(OR($C41="Milestone",$C41="Gate"),"◆","■"),"")</x:f>
      </x:c>
      <x:c r="Q41" s="37" t="str">
        <x:f t="shared" si="37">IF(AND($I41&lt;=Q$4+6,$J41&gt;=Q$4),IF(OR($C41="Milestone",$C41="Gate"),"◆","■"),"")</x:f>
      </x:c>
      <x:c r="R41" s="37" t="str">
        <x:f t="shared" si="37">IF(AND($I41&lt;=R$4+6,$J41&gt;=R$4),IF(OR($C41="Milestone",$C41="Gate"),"◆","■"),"")</x:f>
      </x:c>
      <x:c r="S41" s="37" t="str">
        <x:f t="shared" si="37">IF(AND($I41&lt;=S$4+6,$J41&gt;=S$4),IF(OR($C41="Milestone",$C41="Gate"),"◆","■"),"")</x:f>
      </x:c>
      <x:c r="T41" s="37" t="str">
        <x:f t="shared" si="37">IF(AND($I41&lt;=T$4+6,$J41&gt;=T$4),IF(OR($C41="Milestone",$C41="Gate"),"◆","■"),"")</x:f>
      </x:c>
      <x:c r="U41" s="37" t="str">
        <x:f t="shared" si="37">IF(AND($I41&lt;=U$4+6,$J41&gt;=U$4),IF(OR($C41="Milestone",$C41="Gate"),"◆","■"),"")</x:f>
        <x:v>■</x:v>
      </x:c>
      <x:c r="V41" s="37" t="str">
        <x:f t="shared" si="37">IF(AND($I41&lt;=V$4+6,$J41&gt;=V$4),IF(OR($C41="Milestone",$C41="Gate"),"◆","■"),"")</x:f>
        <x:v>■</x:v>
      </x:c>
      <x:c r="W41" s="37" t="str">
        <x:f t="shared" si="37">IF(AND($I41&lt;=W$4+6,$J41&gt;=W$4),IF(OR($C41="Milestone",$C41="Gate"),"◆","■"),"")</x:f>
      </x:c>
      <x:c r="X41" s="37" t="str">
        <x:f t="shared" si="37">IF(AND($I41&lt;=X$4+6,$J41&gt;=X$4),IF(OR($C41="Milestone",$C41="Gate"),"◆","■"),"")</x:f>
      </x:c>
      <x:c r="Y41" s="37" t="str">
        <x:f t="shared" si="37">IF(AND($I41&lt;=Y$4+6,$J41&gt;=Y$4),IF(OR($C41="Milestone",$C41="Gate"),"◆","■"),"")</x:f>
      </x:c>
      <x:c r="Z41" s="37" t="str">
        <x:f t="shared" si="37">IF(AND($I41&lt;=Z$4+6,$J41&gt;=Z$4),IF(OR($C41="Milestone",$C41="Gate"),"◆","■"),"")</x:f>
      </x:c>
      <x:c r="AA41" s="37" t="str">
        <x:f t="shared" si="37">IF(AND($I41&lt;=AA$4+6,$J41&gt;=AA$4),IF(OR($C41="Milestone",$C41="Gate"),"◆","■"),"")</x:f>
      </x:c>
      <x:c r="AB41" s="37" t="str">
        <x:f t="shared" si="37">IF(AND($I41&lt;=AB$4+6,$J41&gt;=AB$4),IF(OR($C41="Milestone",$C41="Gate"),"◆","■"),"")</x:f>
      </x:c>
      <x:c r="AC41" s="37" t="str">
        <x:f t="shared" si="37">IF(AND($I41&lt;=AC$4+6,$J41&gt;=AC$4),IF(OR($C41="Milestone",$C41="Gate"),"◆","■"),"")</x:f>
      </x:c>
    </x:row>
    <x:row r="42" ht="34" customHeight="1">
      <x:c r="A42" s="24" t="str">
        <x:v>E10</x:v>
      </x:c>
      <x:c r="B42" s="24" t="str">
        <x:v>M2: Estimator + 55%</x:v>
      </x:c>
      <x:c r="C42" s="24" t="str">
        <x:v>Task</x:v>
      </x:c>
      <x:c r="D42" s="24" t="str">
        <x:v>Admin data</x:v>
      </x:c>
      <x:c r="E42" s="24" t="str">
        <x:v>Build minimal price/advisory maintenance interface</x:v>
      </x:c>
      <x:c r="F42" s="24" t="str">
        <x:v>Shahriar Islam</x:v>
      </x:c>
      <x:c r="G42" s="24" t="str">
        <x:v>Muhtasim</x:v>
      </x:c>
      <x:c r="H42" s="25" t="n">
        <x:v>6</x:v>
      </x:c>
      <x:c r="I42" s="26" t="n">
        <x:v>46342</x:v>
      </x:c>
      <x:c r="J42" s="26" t="n">
        <x:v>46356</x:v>
      </x:c>
      <x:c r="K42" s="24" t="str">
        <x:v>E06</x:v>
      </x:c>
      <x:c r="L42" s="24" t="str">
        <x:v>Not started</x:v>
      </x:c>
      <x:c r="M42" s="24" t="str">
        <x:v>Admin can update source, date and expiry</x:v>
      </x:c>
      <x:c r="N42" s="24" t="str">
        <x:v>Audit actor and timestamp retained</x:v>
      </x:c>
      <x:c r="O42" s="38" t="str">
        <x:f t="shared" ref="O42:AC42" si="38">IF(AND($I42&lt;=O$4+6,$J42&gt;=O$4),IF(OR($C42="Milestone",$C42="Gate"),"◆","■"),"")</x:f>
      </x:c>
      <x:c r="P42" s="38" t="str">
        <x:f t="shared" si="38">IF(AND($I42&lt;=P$4+6,$J42&gt;=P$4),IF(OR($C42="Milestone",$C42="Gate"),"◆","■"),"")</x:f>
      </x:c>
      <x:c r="Q42" s="38" t="str">
        <x:f t="shared" si="38">IF(AND($I42&lt;=Q$4+6,$J42&gt;=Q$4),IF(OR($C42="Milestone",$C42="Gate"),"◆","■"),"")</x:f>
      </x:c>
      <x:c r="R42" s="38" t="str">
        <x:f t="shared" si="38">IF(AND($I42&lt;=R$4+6,$J42&gt;=R$4),IF(OR($C42="Milestone",$C42="Gate"),"◆","■"),"")</x:f>
      </x:c>
      <x:c r="S42" s="38" t="str">
        <x:f t="shared" si="38">IF(AND($I42&lt;=S$4+6,$J42&gt;=S$4),IF(OR($C42="Milestone",$C42="Gate"),"◆","■"),"")</x:f>
      </x:c>
      <x:c r="T42" s="38" t="str">
        <x:f t="shared" si="38">IF(AND($I42&lt;=T$4+6,$J42&gt;=T$4),IF(OR($C42="Milestone",$C42="Gate"),"◆","■"),"")</x:f>
        <x:v>■</x:v>
      </x:c>
      <x:c r="U42" s="38" t="str">
        <x:f t="shared" si="38">IF(AND($I42&lt;=U$4+6,$J42&gt;=U$4),IF(OR($C42="Milestone",$C42="Gate"),"◆","■"),"")</x:f>
        <x:v>■</x:v>
      </x:c>
      <x:c r="V42" s="38" t="str">
        <x:f t="shared" si="38">IF(AND($I42&lt;=V$4+6,$J42&gt;=V$4),IF(OR($C42="Milestone",$C42="Gate"),"◆","■"),"")</x:f>
        <x:v>■</x:v>
      </x:c>
      <x:c r="W42" s="38" t="str">
        <x:f t="shared" si="38">IF(AND($I42&lt;=W$4+6,$J42&gt;=W$4),IF(OR($C42="Milestone",$C42="Gate"),"◆","■"),"")</x:f>
      </x:c>
      <x:c r="X42" s="38" t="str">
        <x:f t="shared" si="38">IF(AND($I42&lt;=X$4+6,$J42&gt;=X$4),IF(OR($C42="Milestone",$C42="Gate"),"◆","■"),"")</x:f>
      </x:c>
      <x:c r="Y42" s="38" t="str">
        <x:f t="shared" si="38">IF(AND($I42&lt;=Y$4+6,$J42&gt;=Y$4),IF(OR($C42="Milestone",$C42="Gate"),"◆","■"),"")</x:f>
      </x:c>
      <x:c r="Z42" s="38" t="str">
        <x:f t="shared" si="38">IF(AND($I42&lt;=Z$4+6,$J42&gt;=Z$4),IF(OR($C42="Milestone",$C42="Gate"),"◆","■"),"")</x:f>
      </x:c>
      <x:c r="AA42" s="38" t="str">
        <x:f t="shared" si="38">IF(AND($I42&lt;=AA$4+6,$J42&gt;=AA$4),IF(OR($C42="Milestone",$C42="Gate"),"◆","■"),"")</x:f>
      </x:c>
      <x:c r="AB42" s="38" t="str">
        <x:f t="shared" si="38">IF(AND($I42&lt;=AB$4+6,$J42&gt;=AB$4),IF(OR($C42="Milestone",$C42="Gate"),"◆","■"),"")</x:f>
      </x:c>
      <x:c r="AC42" s="38" t="str">
        <x:f t="shared" si="38">IF(AND($I42&lt;=AC$4+6,$J42&gt;=AC$4),IF(OR($C42="Milestone",$C42="Gate"),"◆","■"),"")</x:f>
      </x:c>
    </x:row>
    <x:row r="43" ht="34" customHeight="1">
      <x:c r="A43" s="24" t="str">
        <x:v>E11</x:v>
      </x:c>
      <x:c r="B43" s="24" t="str">
        <x:v>M2: Estimator + 55%</x:v>
      </x:c>
      <x:c r="C43" s="24" t="str">
        <x:v>Task</x:v>
      </x:c>
      <x:c r="D43" s="24" t="str">
        <x:v>Estimator QA</x:v>
      </x:c>
      <x:c r="E43" s="24" t="str">
        <x:v>Create hand-calculated scenarios, baseline and held-out protocol</x:v>
      </x:c>
      <x:c r="F43" s="24" t="str">
        <x:v>Md. Irfan Iqbal</x:v>
      </x:c>
      <x:c r="G43" s="24" t="str">
        <x:v>Shahriar</x:v>
      </x:c>
      <x:c r="H43" s="25" t="n">
        <x:v>6</x:v>
      </x:c>
      <x:c r="I43" s="26" t="n">
        <x:v>46335</x:v>
      </x:c>
      <x:c r="J43" s="26" t="n">
        <x:v>46350</x:v>
      </x:c>
      <x:c r="K43" s="24" t="str">
        <x:v>E01</x:v>
      </x:c>
      <x:c r="L43" s="24" t="str">
        <x:v>Not started</x:v>
      </x:c>
      <x:c r="M43" s="24" t="str">
        <x:v>Test dataset separated from seed data</x:v>
      </x:c>
      <x:c r="N43" s="24" t="str">
        <x:v>Baseline does not use held-out trips</x:v>
      </x:c>
      <x:c r="O43" s="37" t="str">
        <x:f t="shared" ref="O43:AC43" si="39">IF(AND($I43&lt;=O$4+6,$J43&gt;=O$4),IF(OR($C43="Milestone",$C43="Gate"),"◆","■"),"")</x:f>
      </x:c>
      <x:c r="P43" s="37" t="str">
        <x:f t="shared" si="39">IF(AND($I43&lt;=P$4+6,$J43&gt;=P$4),IF(OR($C43="Milestone",$C43="Gate"),"◆","■"),"")</x:f>
      </x:c>
      <x:c r="Q43" s="37" t="str">
        <x:f t="shared" si="39">IF(AND($I43&lt;=Q$4+6,$J43&gt;=Q$4),IF(OR($C43="Milestone",$C43="Gate"),"◆","■"),"")</x:f>
      </x:c>
      <x:c r="R43" s="37" t="str">
        <x:f t="shared" si="39">IF(AND($I43&lt;=R$4+6,$J43&gt;=R$4),IF(OR($C43="Milestone",$C43="Gate"),"◆","■"),"")</x:f>
      </x:c>
      <x:c r="S43" s="37" t="str">
        <x:f t="shared" si="39">IF(AND($I43&lt;=S$4+6,$J43&gt;=S$4),IF(OR($C43="Milestone",$C43="Gate"),"◆","■"),"")</x:f>
        <x:v>■</x:v>
      </x:c>
      <x:c r="T43" s="37" t="str">
        <x:f t="shared" si="39">IF(AND($I43&lt;=T$4+6,$J43&gt;=T$4),IF(OR($C43="Milestone",$C43="Gate"),"◆","■"),"")</x:f>
        <x:v>■</x:v>
      </x:c>
      <x:c r="U43" s="37" t="str">
        <x:f t="shared" si="39">IF(AND($I43&lt;=U$4+6,$J43&gt;=U$4),IF(OR($C43="Milestone",$C43="Gate"),"◆","■"),"")</x:f>
        <x:v>■</x:v>
      </x:c>
      <x:c r="V43" s="37" t="str">
        <x:f t="shared" si="39">IF(AND($I43&lt;=V$4+6,$J43&gt;=V$4),IF(OR($C43="Milestone",$C43="Gate"),"◆","■"),"")</x:f>
      </x:c>
      <x:c r="W43" s="37" t="str">
        <x:f t="shared" si="39">IF(AND($I43&lt;=W$4+6,$J43&gt;=W$4),IF(OR($C43="Milestone",$C43="Gate"),"◆","■"),"")</x:f>
      </x:c>
      <x:c r="X43" s="37" t="str">
        <x:f t="shared" si="39">IF(AND($I43&lt;=X$4+6,$J43&gt;=X$4),IF(OR($C43="Milestone",$C43="Gate"),"◆","■"),"")</x:f>
      </x:c>
      <x:c r="Y43" s="37" t="str">
        <x:f t="shared" si="39">IF(AND($I43&lt;=Y$4+6,$J43&gt;=Y$4),IF(OR($C43="Milestone",$C43="Gate"),"◆","■"),"")</x:f>
      </x:c>
      <x:c r="Z43" s="37" t="str">
        <x:f t="shared" si="39">IF(AND($I43&lt;=Z$4+6,$J43&gt;=Z$4),IF(OR($C43="Milestone",$C43="Gate"),"◆","■"),"")</x:f>
      </x:c>
      <x:c r="AA43" s="37" t="str">
        <x:f t="shared" si="39">IF(AND($I43&lt;=AA$4+6,$J43&gt;=AA$4),IF(OR($C43="Milestone",$C43="Gate"),"◆","■"),"")</x:f>
      </x:c>
      <x:c r="AB43" s="37" t="str">
        <x:f t="shared" si="39">IF(AND($I43&lt;=AB$4+6,$J43&gt;=AB$4),IF(OR($C43="Milestone",$C43="Gate"),"◆","■"),"")</x:f>
      </x:c>
      <x:c r="AC43" s="37" t="str">
        <x:f t="shared" si="39">IF(AND($I43&lt;=AC$4+6,$J43&gt;=AC$4),IF(OR($C43="Milestone",$C43="Gate"),"◆","■"),"")</x:f>
      </x:c>
    </x:row>
    <x:row r="44" ht="34" customHeight="1">
      <x:c r="A44" s="24" t="str">
        <x:v>E12</x:v>
      </x:c>
      <x:c r="B44" s="24" t="str">
        <x:v>M2: Estimator + 55%</x:v>
      </x:c>
      <x:c r="C44" s="24" t="str">
        <x:v>Task</x:v>
      </x:c>
      <x:c r="D44" s="24" t="str">
        <x:v>Estimator QA</x:v>
      </x:c>
      <x:c r="E44" s="24" t="str">
        <x:v>Execute calculation, stale-data and confidence tests</x:v>
      </x:c>
      <x:c r="F44" s="24" t="str">
        <x:v>Md. Irfan Iqbal</x:v>
      </x:c>
      <x:c r="G44" s="24" t="str">
        <x:v>Muhtasim</x:v>
      </x:c>
      <x:c r="H44" s="25" t="n">
        <x:v>6</x:v>
      </x:c>
      <x:c r="I44" s="26" t="n">
        <x:v>46349</x:v>
      </x:c>
      <x:c r="J44" s="26" t="n">
        <x:v>46360</x:v>
      </x:c>
      <x:c r="K44" s="24" t="str">
        <x:v>E07,E11</x:v>
      </x:c>
      <x:c r="L44" s="24" t="str">
        <x:v>Not started</x:v>
      </x:c>
      <x:c r="M44" s="24" t="str">
        <x:v>All pricing units and edge cases recorded</x:v>
      </x:c>
      <x:c r="N44" s="24" t="str">
        <x:v>Compare representative output to baseline</x:v>
      </x:c>
      <x:c r="O44" s="38" t="str">
        <x:f t="shared" ref="O44:AC44" si="40">IF(AND($I44&lt;=O$4+6,$J44&gt;=O$4),IF(OR($C44="Milestone",$C44="Gate"),"◆","■"),"")</x:f>
      </x:c>
      <x:c r="P44" s="38" t="str">
        <x:f t="shared" si="40">IF(AND($I44&lt;=P$4+6,$J44&gt;=P$4),IF(OR($C44="Milestone",$C44="Gate"),"◆","■"),"")</x:f>
      </x:c>
      <x:c r="Q44" s="38" t="str">
        <x:f t="shared" si="40">IF(AND($I44&lt;=Q$4+6,$J44&gt;=Q$4),IF(OR($C44="Milestone",$C44="Gate"),"◆","■"),"")</x:f>
      </x:c>
      <x:c r="R44" s="38" t="str">
        <x:f t="shared" si="40">IF(AND($I44&lt;=R$4+6,$J44&gt;=R$4),IF(OR($C44="Milestone",$C44="Gate"),"◆","■"),"")</x:f>
      </x:c>
      <x:c r="S44" s="38" t="str">
        <x:f t="shared" si="40">IF(AND($I44&lt;=S$4+6,$J44&gt;=S$4),IF(OR($C44="Milestone",$C44="Gate"),"◆","■"),"")</x:f>
      </x:c>
      <x:c r="T44" s="38" t="str">
        <x:f t="shared" si="40">IF(AND($I44&lt;=T$4+6,$J44&gt;=T$4),IF(OR($C44="Milestone",$C44="Gate"),"◆","■"),"")</x:f>
      </x:c>
      <x:c r="U44" s="38" t="str">
        <x:f t="shared" si="40">IF(AND($I44&lt;=U$4+6,$J44&gt;=U$4),IF(OR($C44="Milestone",$C44="Gate"),"◆","■"),"")</x:f>
        <x:v>■</x:v>
      </x:c>
      <x:c r="V44" s="38" t="str">
        <x:f t="shared" si="40">IF(AND($I44&lt;=V$4+6,$J44&gt;=V$4),IF(OR($C44="Milestone",$C44="Gate"),"◆","■"),"")</x:f>
        <x:v>■</x:v>
      </x:c>
      <x:c r="W44" s="38" t="str">
        <x:f t="shared" si="40">IF(AND($I44&lt;=W$4+6,$J44&gt;=W$4),IF(OR($C44="Milestone",$C44="Gate"),"◆","■"),"")</x:f>
      </x:c>
      <x:c r="X44" s="38" t="str">
        <x:f t="shared" si="40">IF(AND($I44&lt;=X$4+6,$J44&gt;=X$4),IF(OR($C44="Milestone",$C44="Gate"),"◆","■"),"")</x:f>
      </x:c>
      <x:c r="Y44" s="38" t="str">
        <x:f t="shared" si="40">IF(AND($I44&lt;=Y$4+6,$J44&gt;=Y$4),IF(OR($C44="Milestone",$C44="Gate"),"◆","■"),"")</x:f>
      </x:c>
      <x:c r="Z44" s="38" t="str">
        <x:f t="shared" si="40">IF(AND($I44&lt;=Z$4+6,$J44&gt;=Z$4),IF(OR($C44="Milestone",$C44="Gate"),"◆","■"),"")</x:f>
      </x:c>
      <x:c r="AA44" s="38" t="str">
        <x:f t="shared" si="40">IF(AND($I44&lt;=AA$4+6,$J44&gt;=AA$4),IF(OR($C44="Milestone",$C44="Gate"),"◆","■"),"")</x:f>
      </x:c>
      <x:c r="AB44" s="38" t="str">
        <x:f t="shared" si="40">IF(AND($I44&lt;=AB$4+6,$J44&gt;=AB$4),IF(OR($C44="Milestone",$C44="Gate"),"◆","■"),"")</x:f>
      </x:c>
      <x:c r="AC44" s="38" t="str">
        <x:f t="shared" si="40">IF(AND($I44&lt;=AC$4+6,$J44&gt;=AC$4),IF(OR($C44="Milestone",$C44="Gate"),"◆","■"),"")</x:f>
      </x:c>
    </x:row>
    <x:row r="45" ht="34" customHeight="1">
      <x:c r="A45" s="24" t="str">
        <x:v>E13</x:v>
      </x:c>
      <x:c r="B45" s="24" t="str">
        <x:v>M2: Estimator + 55%</x:v>
      </x:c>
      <x:c r="C45" s="24" t="str">
        <x:v>Task</x:v>
      </x:c>
      <x:c r="D45" s="24" t="str">
        <x:v>Integration</x:v>
      </x:c>
      <x:c r="E45" s="24" t="str">
        <x:v>Integrate estimator, saved brief, review and offline flows</x:v>
      </x:c>
      <x:c r="F45" s="24" t="str">
        <x:v>Abdullah Bin Sorwar Choudhury</x:v>
      </x:c>
      <x:c r="G45" s="24" t="str">
        <x:v>Muhtasim, Shahriar</x:v>
      </x:c>
      <x:c r="H45" s="25" t="n">
        <x:v>5</x:v>
      </x:c>
      <x:c r="I45" s="26" t="n">
        <x:v>46354</x:v>
      </x:c>
      <x:c r="J45" s="26" t="n">
        <x:v>46361</x:v>
      </x:c>
      <x:c r="K45" s="24" t="str">
        <x:v>E08,E09,E10</x:v>
      </x:c>
      <x:c r="L45" s="24" t="str">
        <x:v>Not started</x:v>
      </x:c>
      <x:c r="M45" s="24" t="str">
        <x:v>One continuous user journey passes</x:v>
      </x:c>
      <x:c r="N45" s="24" t="str">
        <x:v>No regression in M1</x:v>
      </x:c>
      <x:c r="O45" s="37" t="str">
        <x:f t="shared" ref="O45:AC45" si="41">IF(AND($I45&lt;=O$4+6,$J45&gt;=O$4),IF(OR($C45="Milestone",$C45="Gate"),"◆","■"),"")</x:f>
      </x:c>
      <x:c r="P45" s="37" t="str">
        <x:f t="shared" si="41">IF(AND($I45&lt;=P$4+6,$J45&gt;=P$4),IF(OR($C45="Milestone",$C45="Gate"),"◆","■"),"")</x:f>
      </x:c>
      <x:c r="Q45" s="37" t="str">
        <x:f t="shared" si="41">IF(AND($I45&lt;=Q$4+6,$J45&gt;=Q$4),IF(OR($C45="Milestone",$C45="Gate"),"◆","■"),"")</x:f>
      </x:c>
      <x:c r="R45" s="37" t="str">
        <x:f t="shared" si="41">IF(AND($I45&lt;=R$4+6,$J45&gt;=R$4),IF(OR($C45="Milestone",$C45="Gate"),"◆","■"),"")</x:f>
      </x:c>
      <x:c r="S45" s="37" t="str">
        <x:f t="shared" si="41">IF(AND($I45&lt;=S$4+6,$J45&gt;=S$4),IF(OR($C45="Milestone",$C45="Gate"),"◆","■"),"")</x:f>
      </x:c>
      <x:c r="T45" s="37" t="str">
        <x:f t="shared" si="41">IF(AND($I45&lt;=T$4+6,$J45&gt;=T$4),IF(OR($C45="Milestone",$C45="Gate"),"◆","■"),"")</x:f>
      </x:c>
      <x:c r="U45" s="37" t="str">
        <x:f t="shared" si="41">IF(AND($I45&lt;=U$4+6,$J45&gt;=U$4),IF(OR($C45="Milestone",$C45="Gate"),"◆","■"),"")</x:f>
        <x:v>■</x:v>
      </x:c>
      <x:c r="V45" s="37" t="str">
        <x:f t="shared" si="41">IF(AND($I45&lt;=V$4+6,$J45&gt;=V$4),IF(OR($C45="Milestone",$C45="Gate"),"◆","■"),"")</x:f>
        <x:v>■</x:v>
      </x:c>
      <x:c r="W45" s="37" t="str">
        <x:f t="shared" si="41">IF(AND($I45&lt;=W$4+6,$J45&gt;=W$4),IF(OR($C45="Milestone",$C45="Gate"),"◆","■"),"")</x:f>
      </x:c>
      <x:c r="X45" s="37" t="str">
        <x:f t="shared" si="41">IF(AND($I45&lt;=X$4+6,$J45&gt;=X$4),IF(OR($C45="Milestone",$C45="Gate"),"◆","■"),"")</x:f>
      </x:c>
      <x:c r="Y45" s="37" t="str">
        <x:f t="shared" si="41">IF(AND($I45&lt;=Y$4+6,$J45&gt;=Y$4),IF(OR($C45="Milestone",$C45="Gate"),"◆","■"),"")</x:f>
      </x:c>
      <x:c r="Z45" s="37" t="str">
        <x:f t="shared" si="41">IF(AND($I45&lt;=Z$4+6,$J45&gt;=Z$4),IF(OR($C45="Milestone",$C45="Gate"),"◆","■"),"")</x:f>
      </x:c>
      <x:c r="AA45" s="37" t="str">
        <x:f t="shared" si="41">IF(AND($I45&lt;=AA$4+6,$J45&gt;=AA$4),IF(OR($C45="Milestone",$C45="Gate"),"◆","■"),"")</x:f>
      </x:c>
      <x:c r="AB45" s="37" t="str">
        <x:f t="shared" si="41">IF(AND($I45&lt;=AB$4+6,$J45&gt;=AB$4),IF(OR($C45="Milestone",$C45="Gate"),"◆","■"),"")</x:f>
      </x:c>
      <x:c r="AC45" s="37" t="str">
        <x:f t="shared" si="41">IF(AND($I45&lt;=AC$4+6,$J45&gt;=AC$4),IF(OR($C45="Milestone",$C45="Gate"),"◆","■"),"")</x:f>
      </x:c>
    </x:row>
    <x:row r="46" ht="34" customHeight="1">
      <x:c r="A46" s="24" t="str">
        <x:v>E14</x:v>
      </x:c>
      <x:c r="B46" s="24" t="str">
        <x:v>M2: Estimator + 55%</x:v>
      </x:c>
      <x:c r="C46" s="24" t="str">
        <x:v>Task</x:v>
      </x:c>
      <x:c r="D46" s="24" t="str">
        <x:v>Release coordination</x:v>
      </x:c>
      <x:c r="E46" s="24" t="str">
        <x:v>Run progress audit, defect triage and evidence pack</x:v>
      </x:c>
      <x:c r="F46" s="24" t="str">
        <x:v>Shahriar Islam</x:v>
      </x:c>
      <x:c r="G46" s="24" t="str">
        <x:v>All</x:v>
      </x:c>
      <x:c r="H46" s="25" t="n">
        <x:v>5</x:v>
      </x:c>
      <x:c r="I46" s="26" t="n">
        <x:v>46356</x:v>
      </x:c>
      <x:c r="J46" s="26" t="n">
        <x:v>46362</x:v>
      </x:c>
      <x:c r="K46" s="24" t="str">
        <x:v>E10,E12,E13</x:v>
      </x:c>
      <x:c r="L46" s="24" t="str">
        <x:v>Not started</x:v>
      </x:c>
      <x:c r="M46" s="24" t="str">
        <x:v>Acceptance checklist demonstrates 50–60% of the original core scope</x:v>
      </x:c>
      <x:c r="N46" s="24" t="str">
        <x:v>Deferred items documented</x:v>
      </x:c>
      <x:c r="O46" s="38" t="str">
        <x:f t="shared" ref="O46:AC46" si="42">IF(AND($I46&lt;=O$4+6,$J46&gt;=O$4),IF(OR($C46="Milestone",$C46="Gate"),"◆","■"),"")</x:f>
      </x:c>
      <x:c r="P46" s="38" t="str">
        <x:f t="shared" si="42">IF(AND($I46&lt;=P$4+6,$J46&gt;=P$4),IF(OR($C46="Milestone",$C46="Gate"),"◆","■"),"")</x:f>
      </x:c>
      <x:c r="Q46" s="38" t="str">
        <x:f t="shared" si="42">IF(AND($I46&lt;=Q$4+6,$J46&gt;=Q$4),IF(OR($C46="Milestone",$C46="Gate"),"◆","■"),"")</x:f>
      </x:c>
      <x:c r="R46" s="38" t="str">
        <x:f t="shared" si="42">IF(AND($I46&lt;=R$4+6,$J46&gt;=R$4),IF(OR($C46="Milestone",$C46="Gate"),"◆","■"),"")</x:f>
      </x:c>
      <x:c r="S46" s="38" t="str">
        <x:f t="shared" si="42">IF(AND($I46&lt;=S$4+6,$J46&gt;=S$4),IF(OR($C46="Milestone",$C46="Gate"),"◆","■"),"")</x:f>
      </x:c>
      <x:c r="T46" s="38" t="str">
        <x:f t="shared" si="42">IF(AND($I46&lt;=T$4+6,$J46&gt;=T$4),IF(OR($C46="Milestone",$C46="Gate"),"◆","■"),"")</x:f>
      </x:c>
      <x:c r="U46" s="38" t="str">
        <x:f t="shared" si="42">IF(AND($I46&lt;=U$4+6,$J46&gt;=U$4),IF(OR($C46="Milestone",$C46="Gate"),"◆","■"),"")</x:f>
      </x:c>
      <x:c r="V46" s="38" t="str">
        <x:f t="shared" si="42">IF(AND($I46&lt;=V$4+6,$J46&gt;=V$4),IF(OR($C46="Milestone",$C46="Gate"),"◆","■"),"")</x:f>
        <x:v>■</x:v>
      </x:c>
      <x:c r="W46" s="38" t="str">
        <x:f t="shared" si="42">IF(AND($I46&lt;=W$4+6,$J46&gt;=W$4),IF(OR($C46="Milestone",$C46="Gate"),"◆","■"),"")</x:f>
      </x:c>
      <x:c r="X46" s="38" t="str">
        <x:f t="shared" si="42">IF(AND($I46&lt;=X$4+6,$J46&gt;=X$4),IF(OR($C46="Milestone",$C46="Gate"),"◆","■"),"")</x:f>
      </x:c>
      <x:c r="Y46" s="38" t="str">
        <x:f t="shared" si="42">IF(AND($I46&lt;=Y$4+6,$J46&gt;=Y$4),IF(OR($C46="Milestone",$C46="Gate"),"◆","■"),"")</x:f>
      </x:c>
      <x:c r="Z46" s="38" t="str">
        <x:f t="shared" si="42">IF(AND($I46&lt;=Z$4+6,$J46&gt;=Z$4),IF(OR($C46="Milestone",$C46="Gate"),"◆","■"),"")</x:f>
      </x:c>
      <x:c r="AA46" s="38" t="str">
        <x:f t="shared" si="42">IF(AND($I46&lt;=AA$4+6,$J46&gt;=AA$4),IF(OR($C46="Milestone",$C46="Gate"),"◆","■"),"")</x:f>
      </x:c>
      <x:c r="AB46" s="38" t="str">
        <x:f t="shared" si="42">IF(AND($I46&lt;=AB$4+6,$J46&gt;=AB$4),IF(OR($C46="Milestone",$C46="Gate"),"◆","■"),"")</x:f>
      </x:c>
      <x:c r="AC46" s="38" t="str">
        <x:f t="shared" si="42">IF(AND($I46&lt;=AC$4+6,$J46&gt;=AC$4),IF(OR($C46="Milestone",$C46="Gate"),"◆","■"),"")</x:f>
      </x:c>
    </x:row>
    <x:row r="47" ht="34" customHeight="1">
      <x:c r="A47" s="34" t="str">
        <x:v>M2</x:v>
      </x:c>
      <x:c r="B47" s="34" t="str">
        <x:v>M2: Estimator + 55%</x:v>
      </x:c>
      <x:c r="C47" s="34" t="str">
        <x:v>Milestone</x:v>
      </x:c>
      <x:c r="D47" s="34" t="str">
        <x:v>Gate</x:v>
      </x:c>
      <x:c r="E47" s="34" t="str">
        <x:v>Original core scope progress checkpoint: 50–60% complete</x:v>
      </x:c>
      <x:c r="F47" s="34" t="str">
        <x:v>Shahriar Islam</x:v>
      </x:c>
      <x:c r="G47" s="34" t="str">
        <x:v>All</x:v>
      </x:c>
      <x:c r="H47" s="35" t="n">
        <x:v>1</x:v>
      </x:c>
      <x:c r="I47" s="36" t="n">
        <x:v>46363</x:v>
      </x:c>
      <x:c r="J47" s="36" t="n">
        <x:v>46363</x:v>
      </x:c>
      <x:c r="K47" s="34" t="str">
        <x:v>E14</x:v>
      </x:c>
      <x:c r="L47" s="34" t="str">
        <x:v>Not started</x:v>
      </x:c>
      <x:c r="M47" s="34" t="str">
        <x:v>Instructor-ready demonstration of 50–60% of the original core scope</x:v>
      </x:c>
      <x:c r="N47" s="34" t="str">
        <x:v>Fixed milestone</x:v>
      </x:c>
      <x:c r="O47" s="39" t="str">
        <x:f t="shared" ref="O47:AC47" si="43">IF(AND($I47&lt;=O$4+6,$J47&gt;=O$4),IF(OR($C47="Milestone",$C47="Gate"),"◆","■"),"")</x:f>
      </x:c>
      <x:c r="P47" s="39" t="str">
        <x:f t="shared" si="43">IF(AND($I47&lt;=P$4+6,$J47&gt;=P$4),IF(OR($C47="Milestone",$C47="Gate"),"◆","■"),"")</x:f>
      </x:c>
      <x:c r="Q47" s="39" t="str">
        <x:f t="shared" si="43">IF(AND($I47&lt;=Q$4+6,$J47&gt;=Q$4),IF(OR($C47="Milestone",$C47="Gate"),"◆","■"),"")</x:f>
      </x:c>
      <x:c r="R47" s="39" t="str">
        <x:f t="shared" si="43">IF(AND($I47&lt;=R$4+6,$J47&gt;=R$4),IF(OR($C47="Milestone",$C47="Gate"),"◆","■"),"")</x:f>
      </x:c>
      <x:c r="S47" s="39" t="str">
        <x:f t="shared" si="43">IF(AND($I47&lt;=S$4+6,$J47&gt;=S$4),IF(OR($C47="Milestone",$C47="Gate"),"◆","■"),"")</x:f>
      </x:c>
      <x:c r="T47" s="39" t="str">
        <x:f t="shared" si="43">IF(AND($I47&lt;=T$4+6,$J47&gt;=T$4),IF(OR($C47="Milestone",$C47="Gate"),"◆","■"),"")</x:f>
      </x:c>
      <x:c r="U47" s="39" t="str">
        <x:f t="shared" si="43">IF(AND($I47&lt;=U$4+6,$J47&gt;=U$4),IF(OR($C47="Milestone",$C47="Gate"),"◆","■"),"")</x:f>
      </x:c>
      <x:c r="V47" s="39" t="str">
        <x:f t="shared" si="43">IF(AND($I47&lt;=V$4+6,$J47&gt;=V$4),IF(OR($C47="Milestone",$C47="Gate"),"◆","■"),"")</x:f>
      </x:c>
      <x:c r="W47" s="39" t="str">
        <x:f t="shared" si="43">IF(AND($I47&lt;=W$4+6,$J47&gt;=W$4),IF(OR($C47="Milestone",$C47="Gate"),"◆","■"),"")</x:f>
        <x:v>◆</x:v>
      </x:c>
      <x:c r="X47" s="39" t="str">
        <x:f t="shared" si="43">IF(AND($I47&lt;=X$4+6,$J47&gt;=X$4),IF(OR($C47="Milestone",$C47="Gate"),"◆","■"),"")</x:f>
      </x:c>
      <x:c r="Y47" s="39" t="str">
        <x:f t="shared" si="43">IF(AND($I47&lt;=Y$4+6,$J47&gt;=Y$4),IF(OR($C47="Milestone",$C47="Gate"),"◆","■"),"")</x:f>
      </x:c>
      <x:c r="Z47" s="39" t="str">
        <x:f t="shared" si="43">IF(AND($I47&lt;=Z$4+6,$J47&gt;=Z$4),IF(OR($C47="Milestone",$C47="Gate"),"◆","■"),"")</x:f>
      </x:c>
      <x:c r="AA47" s="39" t="str">
        <x:f t="shared" si="43">IF(AND($I47&lt;=AA$4+6,$J47&gt;=AA$4),IF(OR($C47="Milestone",$C47="Gate"),"◆","■"),"")</x:f>
      </x:c>
      <x:c r="AB47" s="39" t="str">
        <x:f t="shared" si="43">IF(AND($I47&lt;=AB$4+6,$J47&gt;=AB$4),IF(OR($C47="Milestone",$C47="Gate"),"◆","■"),"")</x:f>
      </x:c>
      <x:c r="AC47" s="39" t="str">
        <x:f t="shared" si="43">IF(AND($I47&lt;=AC$4+6,$J47&gt;=AC$4),IF(OR($C47="Milestone",$C47="Gate"),"◆","■"),"")</x:f>
      </x:c>
    </x:row>
    <x:row r="48" ht="34" customHeight="1">
      <x:c r="A48" s="24" t="str">
        <x:v>MD01</x:v>
      </x:c>
      <x:c r="B48" s="24" t="str">
        <x:v>Extension: Media</x:v>
      </x:c>
      <x:c r="C48" s="24" t="str">
        <x:v>Task</x:v>
      </x:c>
      <x:c r="D48" s="24" t="str">
        <x:v>Media governance</x:v>
      </x:c>
      <x:c r="E48" s="24" t="str">
        <x:v>Approve media threat model, limits and moderation rules</x:v>
      </x:c>
      <x:c r="F48" s="24" t="str">
        <x:v>Shahriar Islam</x:v>
      </x:c>
      <x:c r="G48" s="24" t="str">
        <x:v>Irfan, Muhtasim</x:v>
      </x:c>
      <x:c r="H48" s="25" t="n">
        <x:v>6</x:v>
      </x:c>
      <x:c r="I48" s="26" t="n">
        <x:v>46364</x:v>
      </x:c>
      <x:c r="J48" s="26" t="n">
        <x:v>46367</x:v>
      </x:c>
      <x:c r="K48" s="24" t="str">
        <x:v>M2</x:v>
      </x:c>
      <x:c r="L48" s="24" t="str">
        <x:v>Not started</x:v>
      </x:c>
      <x:c r="M48" s="24" t="str">
        <x:v>Upload policy, quotas and removal rules approved</x:v>
      </x:c>
      <x:c r="N48" s="24" t="str">
        <x:v>Verified Member media only; no public originals</x:v>
      </x:c>
      <x:c r="O48" s="38" t="str">
        <x:f t="shared" ref="O48:AC48" si="44">IF(AND($I48&lt;=O$4+6,$J48&gt;=O$4),IF(OR($C48="Milestone",$C48="Gate"),"◆","■"),"")</x:f>
      </x:c>
      <x:c r="P48" s="38" t="str">
        <x:f t="shared" si="44">IF(AND($I48&lt;=P$4+6,$J48&gt;=P$4),IF(OR($C48="Milestone",$C48="Gate"),"◆","■"),"")</x:f>
      </x:c>
      <x:c r="Q48" s="38" t="str">
        <x:f t="shared" si="44">IF(AND($I48&lt;=Q$4+6,$J48&gt;=Q$4),IF(OR($C48="Milestone",$C48="Gate"),"◆","■"),"")</x:f>
      </x:c>
      <x:c r="R48" s="38" t="str">
        <x:f t="shared" si="44">IF(AND($I48&lt;=R$4+6,$J48&gt;=R$4),IF(OR($C48="Milestone",$C48="Gate"),"◆","■"),"")</x:f>
      </x:c>
      <x:c r="S48" s="38" t="str">
        <x:f t="shared" si="44">IF(AND($I48&lt;=S$4+6,$J48&gt;=S$4),IF(OR($C48="Milestone",$C48="Gate"),"◆","■"),"")</x:f>
      </x:c>
      <x:c r="T48" s="38" t="str">
        <x:f t="shared" si="44">IF(AND($I48&lt;=T$4+6,$J48&gt;=T$4),IF(OR($C48="Milestone",$C48="Gate"),"◆","■"),"")</x:f>
      </x:c>
      <x:c r="U48" s="38" t="str">
        <x:f t="shared" si="44">IF(AND($I48&lt;=U$4+6,$J48&gt;=U$4),IF(OR($C48="Milestone",$C48="Gate"),"◆","■"),"")</x:f>
      </x:c>
      <x:c r="V48" s="38" t="str">
        <x:f t="shared" si="44">IF(AND($I48&lt;=V$4+6,$J48&gt;=V$4),IF(OR($C48="Milestone",$C48="Gate"),"◆","■"),"")</x:f>
      </x:c>
      <x:c r="W48" s="38" t="str">
        <x:f t="shared" si="44">IF(AND($I48&lt;=W$4+6,$J48&gt;=W$4),IF(OR($C48="Milestone",$C48="Gate"),"◆","■"),"")</x:f>
        <x:v>■</x:v>
      </x:c>
      <x:c r="X48" s="38" t="str">
        <x:f t="shared" si="44">IF(AND($I48&lt;=X$4+6,$J48&gt;=X$4),IF(OR($C48="Milestone",$C48="Gate"),"◆","■"),"")</x:f>
      </x:c>
      <x:c r="Y48" s="38" t="str">
        <x:f t="shared" si="44">IF(AND($I48&lt;=Y$4+6,$J48&gt;=Y$4),IF(OR($C48="Milestone",$C48="Gate"),"◆","■"),"")</x:f>
      </x:c>
      <x:c r="Z48" s="38" t="str">
        <x:f t="shared" si="44">IF(AND($I48&lt;=Z$4+6,$J48&gt;=Z$4),IF(OR($C48="Milestone",$C48="Gate"),"◆","■"),"")</x:f>
      </x:c>
      <x:c r="AA48" s="38" t="str">
        <x:f t="shared" si="44">IF(AND($I48&lt;=AA$4+6,$J48&gt;=AA$4),IF(OR($C48="Milestone",$C48="Gate"),"◆","■"),"")</x:f>
      </x:c>
      <x:c r="AB48" s="38" t="str">
        <x:f t="shared" si="44">IF(AND($I48&lt;=AB$4+6,$J48&gt;=AB$4),IF(OR($C48="Milestone",$C48="Gate"),"◆","■"),"")</x:f>
      </x:c>
      <x:c r="AC48" s="38" t="str">
        <x:f t="shared" si="44">IF(AND($I48&lt;=AC$4+6,$J48&gt;=AC$4),IF(OR($C48="Milestone",$C48="Gate"),"◆","■"),"")</x:f>
      </x:c>
    </x:row>
    <x:row r="49" ht="34" customHeight="1">
      <x:c r="A49" s="24" t="str">
        <x:v>MD02</x:v>
      </x:c>
      <x:c r="B49" s="24" t="str">
        <x:v>Extension: Media</x:v>
      </x:c>
      <x:c r="C49" s="24" t="str">
        <x:v>Task</x:v>
      </x:c>
      <x:c r="D49" s="24" t="str">
        <x:v>Media backend</x:v>
      </x:c>
      <x:c r="E49" s="24" t="str">
        <x:v>Implement quarantine, object storage and processing workflow</x:v>
      </x:c>
      <x:c r="F49" s="24" t="str">
        <x:v>Syed Muhtasim Alam</x:v>
      </x:c>
      <x:c r="G49" s="24" t="str">
        <x:v>Shahriar</x:v>
      </x:c>
      <x:c r="H49" s="25" t="n">
        <x:v>6</x:v>
      </x:c>
      <x:c r="I49" s="26" t="n">
        <x:v>46368</x:v>
      </x:c>
      <x:c r="J49" s="26" t="n">
        <x:v>46372</x:v>
      </x:c>
      <x:c r="K49" s="24" t="str">
        <x:v>MD01</x:v>
      </x:c>
      <x:c r="L49" s="24" t="str">
        <x:v>Not started</x:v>
      </x:c>
      <x:c r="M49" s="24" t="str">
        <x:v>Validated upload lifecycle, EXIF removal and access checks pass</x:v>
      </x:c>
      <x:c r="N49" s="24" t="str">
        <x:v>Keep binaries out of PostgreSQL</x:v>
      </x:c>
      <x:c r="O49" s="37" t="str">
        <x:f t="shared" ref="O49:AC49" si="45">IF(AND($I49&lt;=O$4+6,$J49&gt;=O$4),IF(OR($C49="Milestone",$C49="Gate"),"◆","■"),"")</x:f>
      </x:c>
      <x:c r="P49" s="37" t="str">
        <x:f t="shared" si="45">IF(AND($I49&lt;=P$4+6,$J49&gt;=P$4),IF(OR($C49="Milestone",$C49="Gate"),"◆","■"),"")</x:f>
      </x:c>
      <x:c r="Q49" s="37" t="str">
        <x:f t="shared" si="45">IF(AND($I49&lt;=Q$4+6,$J49&gt;=Q$4),IF(OR($C49="Milestone",$C49="Gate"),"◆","■"),"")</x:f>
      </x:c>
      <x:c r="R49" s="37" t="str">
        <x:f t="shared" si="45">IF(AND($I49&lt;=R$4+6,$J49&gt;=R$4),IF(OR($C49="Milestone",$C49="Gate"),"◆","■"),"")</x:f>
      </x:c>
      <x:c r="S49" s="37" t="str">
        <x:f t="shared" si="45">IF(AND($I49&lt;=S$4+6,$J49&gt;=S$4),IF(OR($C49="Milestone",$C49="Gate"),"◆","■"),"")</x:f>
      </x:c>
      <x:c r="T49" s="37" t="str">
        <x:f t="shared" si="45">IF(AND($I49&lt;=T$4+6,$J49&gt;=T$4),IF(OR($C49="Milestone",$C49="Gate"),"◆","■"),"")</x:f>
      </x:c>
      <x:c r="U49" s="37" t="str">
        <x:f t="shared" si="45">IF(AND($I49&lt;=U$4+6,$J49&gt;=U$4),IF(OR($C49="Milestone",$C49="Gate"),"◆","■"),"")</x:f>
      </x:c>
      <x:c r="V49" s="37" t="str">
        <x:f t="shared" si="45">IF(AND($I49&lt;=V$4+6,$J49&gt;=V$4),IF(OR($C49="Milestone",$C49="Gate"),"◆","■"),"")</x:f>
      </x:c>
      <x:c r="W49" s="37" t="str">
        <x:f t="shared" si="45">IF(AND($I49&lt;=W$4+6,$J49&gt;=W$4),IF(OR($C49="Milestone",$C49="Gate"),"◆","■"),"")</x:f>
        <x:v>■</x:v>
      </x:c>
      <x:c r="X49" s="37" t="str">
        <x:f t="shared" si="45">IF(AND($I49&lt;=X$4+6,$J49&gt;=X$4),IF(OR($C49="Milestone",$C49="Gate"),"◆","■"),"")</x:f>
        <x:v>■</x:v>
      </x:c>
      <x:c r="Y49" s="37" t="str">
        <x:f t="shared" si="45">IF(AND($I49&lt;=Y$4+6,$J49&gt;=Y$4),IF(OR($C49="Milestone",$C49="Gate"),"◆","■"),"")</x:f>
      </x:c>
      <x:c r="Z49" s="37" t="str">
        <x:f t="shared" si="45">IF(AND($I49&lt;=Z$4+6,$J49&gt;=Z$4),IF(OR($C49="Milestone",$C49="Gate"),"◆","■"),"")</x:f>
      </x:c>
      <x:c r="AA49" s="37" t="str">
        <x:f t="shared" si="45">IF(AND($I49&lt;=AA$4+6,$J49&gt;=AA$4),IF(OR($C49="Milestone",$C49="Gate"),"◆","■"),"")</x:f>
      </x:c>
      <x:c r="AB49" s="37" t="str">
        <x:f t="shared" si="45">IF(AND($I49&lt;=AB$4+6,$J49&gt;=AB$4),IF(OR($C49="Milestone",$C49="Gate"),"◆","■"),"")</x:f>
      </x:c>
      <x:c r="AC49" s="37" t="str">
        <x:f t="shared" si="45">IF(AND($I49&lt;=AC$4+6,$J49&gt;=AC$4),IF(OR($C49="Milestone",$C49="Gate"),"◆","■"),"")</x:f>
      </x:c>
    </x:row>
    <x:row r="50" ht="34" customHeight="1">
      <x:c r="A50" s="24" t="str">
        <x:v>MD03</x:v>
      </x:c>
      <x:c r="B50" s="24" t="str">
        <x:v>Extension: Media</x:v>
      </x:c>
      <x:c r="C50" s="24" t="str">
        <x:v>Task</x:v>
      </x:c>
      <x:c r="D50" s="24" t="str">
        <x:v>Media frontend</x:v>
      </x:c>
      <x:c r="E50" s="24" t="str">
        <x:v>Build media upload, retry, status and removal interface</x:v>
      </x:c>
      <x:c r="F50" s="24" t="str">
        <x:v>Abdullah Bin Sorwar Choudhury</x:v>
      </x:c>
      <x:c r="G50" s="24" t="str">
        <x:v>Muhtasim</x:v>
      </x:c>
      <x:c r="H50" s="25" t="n">
        <x:v>6</x:v>
      </x:c>
      <x:c r="I50" s="26" t="n">
        <x:v>46373</x:v>
      </x:c>
      <x:c r="J50" s="26" t="n">
        <x:v>46378</x:v>
      </x:c>
      <x:c r="K50" s="24" t="str">
        <x:v>MD02</x:v>
      </x:c>
      <x:c r="L50" s="24" t="str">
        <x:v>Not started</x:v>
      </x:c>
      <x:c r="M50" s="24" t="str">
        <x:v>Accessible compressed-upload flow works on weak networks</x:v>
      </x:c>
      <x:c r="N50" s="24" t="str">
        <x:v>Never expose storage credentials</x:v>
      </x:c>
      <x:c r="O50" s="38" t="str">
        <x:f t="shared" ref="O50:AC50" si="46">IF(AND($I50&lt;=O$4+6,$J50&gt;=O$4),IF(OR($C50="Milestone",$C50="Gate"),"◆","■"),"")</x:f>
      </x:c>
      <x:c r="P50" s="38" t="str">
        <x:f t="shared" si="46">IF(AND($I50&lt;=P$4+6,$J50&gt;=P$4),IF(OR($C50="Milestone",$C50="Gate"),"◆","■"),"")</x:f>
      </x:c>
      <x:c r="Q50" s="38" t="str">
        <x:f t="shared" si="46">IF(AND($I50&lt;=Q$4+6,$J50&gt;=Q$4),IF(OR($C50="Milestone",$C50="Gate"),"◆","■"),"")</x:f>
      </x:c>
      <x:c r="R50" s="38" t="str">
        <x:f t="shared" si="46">IF(AND($I50&lt;=R$4+6,$J50&gt;=R$4),IF(OR($C50="Milestone",$C50="Gate"),"◆","■"),"")</x:f>
      </x:c>
      <x:c r="S50" s="38" t="str">
        <x:f t="shared" si="46">IF(AND($I50&lt;=S$4+6,$J50&gt;=S$4),IF(OR($C50="Milestone",$C50="Gate"),"◆","■"),"")</x:f>
      </x:c>
      <x:c r="T50" s="38" t="str">
        <x:f t="shared" si="46">IF(AND($I50&lt;=T$4+6,$J50&gt;=T$4),IF(OR($C50="Milestone",$C50="Gate"),"◆","■"),"")</x:f>
      </x:c>
      <x:c r="U50" s="38" t="str">
        <x:f t="shared" si="46">IF(AND($I50&lt;=U$4+6,$J50&gt;=U$4),IF(OR($C50="Milestone",$C50="Gate"),"◆","■"),"")</x:f>
      </x:c>
      <x:c r="V50" s="38" t="str">
        <x:f t="shared" si="46">IF(AND($I50&lt;=V$4+6,$J50&gt;=V$4),IF(OR($C50="Milestone",$C50="Gate"),"◆","■"),"")</x:f>
      </x:c>
      <x:c r="W50" s="38" t="str">
        <x:f t="shared" si="46">IF(AND($I50&lt;=W$4+6,$J50&gt;=W$4),IF(OR($C50="Milestone",$C50="Gate"),"◆","■"),"")</x:f>
      </x:c>
      <x:c r="X50" s="38" t="str">
        <x:f t="shared" si="46">IF(AND($I50&lt;=X$4+6,$J50&gt;=X$4),IF(OR($C50="Milestone",$C50="Gate"),"◆","■"),"")</x:f>
        <x:v>■</x:v>
      </x:c>
      <x:c r="Y50" s="38" t="str">
        <x:f t="shared" si="46">IF(AND($I50&lt;=Y$4+6,$J50&gt;=Y$4),IF(OR($C50="Milestone",$C50="Gate"),"◆","■"),"")</x:f>
        <x:v>■</x:v>
      </x:c>
      <x:c r="Z50" s="38" t="str">
        <x:f t="shared" si="46">IF(AND($I50&lt;=Z$4+6,$J50&gt;=Z$4),IF(OR($C50="Milestone",$C50="Gate"),"◆","■"),"")</x:f>
      </x:c>
      <x:c r="AA50" s="38" t="str">
        <x:f t="shared" si="46">IF(AND($I50&lt;=AA$4+6,$J50&gt;=AA$4),IF(OR($C50="Milestone",$C50="Gate"),"◆","■"),"")</x:f>
      </x:c>
      <x:c r="AB50" s="38" t="str">
        <x:f t="shared" si="46">IF(AND($I50&lt;=AB$4+6,$J50&gt;=AB$4),IF(OR($C50="Milestone",$C50="Gate"),"◆","■"),"")</x:f>
      </x:c>
      <x:c r="AC50" s="38" t="str">
        <x:f t="shared" si="46">IF(AND($I50&lt;=AC$4+6,$J50&gt;=AC$4),IF(OR($C50="Milestone",$C50="Gate"),"◆","■"),"")</x:f>
      </x:c>
    </x:row>
    <x:row r="51" ht="34" customHeight="1">
      <x:c r="A51" s="24" t="str">
        <x:v>MD04</x:v>
      </x:c>
      <x:c r="B51" s="24" t="str">
        <x:v>Extension: Media</x:v>
      </x:c>
      <x:c r="C51" s="24" t="str">
        <x:v>Task</x:v>
      </x:c>
      <x:c r="D51" s="24" t="str">
        <x:v>Media QA</x:v>
      </x:c>
      <x:c r="E51" s="24" t="str">
        <x:v>Test file safety, permissions, lifecycle and failure recovery</x:v>
      </x:c>
      <x:c r="F51" s="24" t="str">
        <x:v>Md. Irfan Iqbal</x:v>
      </x:c>
      <x:c r="G51" s="24" t="str">
        <x:v>All</x:v>
      </x:c>
      <x:c r="H51" s="25" t="n">
        <x:v>6</x:v>
      </x:c>
      <x:c r="I51" s="26" t="n">
        <x:v>46379</x:v>
      </x:c>
      <x:c r="J51" s="26" t="n">
        <x:v>46383</x:v>
      </x:c>
      <x:c r="K51" s="24" t="str">
        <x:v>MD02,MD03</x:v>
      </x:c>
      <x:c r="L51" s="24" t="str">
        <x:v>Not started</x:v>
      </x:c>
      <x:c r="M51" s="24" t="str">
        <x:v>Security and lifecycle evidence complete</x:v>
      </x:c>
      <x:c r="N51" s="24" t="str">
        <x:v>Reject unsafe type, size and ownership cases</x:v>
      </x:c>
      <x:c r="O51" s="37" t="str">
        <x:f t="shared" ref="O51:AC51" si="47">IF(AND($I51&lt;=O$4+6,$J51&gt;=O$4),IF(OR($C51="Milestone",$C51="Gate"),"◆","■"),"")</x:f>
      </x:c>
      <x:c r="P51" s="37" t="str">
        <x:f t="shared" si="47">IF(AND($I51&lt;=P$4+6,$J51&gt;=P$4),IF(OR($C51="Milestone",$C51="Gate"),"◆","■"),"")</x:f>
      </x:c>
      <x:c r="Q51" s="37" t="str">
        <x:f t="shared" si="47">IF(AND($I51&lt;=Q$4+6,$J51&gt;=Q$4),IF(OR($C51="Milestone",$C51="Gate"),"◆","■"),"")</x:f>
      </x:c>
      <x:c r="R51" s="37" t="str">
        <x:f t="shared" si="47">IF(AND($I51&lt;=R$4+6,$J51&gt;=R$4),IF(OR($C51="Milestone",$C51="Gate"),"◆","■"),"")</x:f>
      </x:c>
      <x:c r="S51" s="37" t="str">
        <x:f t="shared" si="47">IF(AND($I51&lt;=S$4+6,$J51&gt;=S$4),IF(OR($C51="Milestone",$C51="Gate"),"◆","■"),"")</x:f>
      </x:c>
      <x:c r="T51" s="37" t="str">
        <x:f t="shared" si="47">IF(AND($I51&lt;=T$4+6,$J51&gt;=T$4),IF(OR($C51="Milestone",$C51="Gate"),"◆","■"),"")</x:f>
      </x:c>
      <x:c r="U51" s="37" t="str">
        <x:f t="shared" si="47">IF(AND($I51&lt;=U$4+6,$J51&gt;=U$4),IF(OR($C51="Milestone",$C51="Gate"),"◆","■"),"")</x:f>
      </x:c>
      <x:c r="V51" s="37" t="str">
        <x:f t="shared" si="47">IF(AND($I51&lt;=V$4+6,$J51&gt;=V$4),IF(OR($C51="Milestone",$C51="Gate"),"◆","■"),"")</x:f>
      </x:c>
      <x:c r="W51" s="37" t="str">
        <x:f t="shared" si="47">IF(AND($I51&lt;=W$4+6,$J51&gt;=W$4),IF(OR($C51="Milestone",$C51="Gate"),"◆","■"),"")</x:f>
      </x:c>
      <x:c r="X51" s="37" t="str">
        <x:f t="shared" si="47">IF(AND($I51&lt;=X$4+6,$J51&gt;=X$4),IF(OR($C51="Milestone",$C51="Gate"),"◆","■"),"")</x:f>
      </x:c>
      <x:c r="Y51" s="37" t="str">
        <x:f t="shared" si="47">IF(AND($I51&lt;=Y$4+6,$J51&gt;=Y$4),IF(OR($C51="Milestone",$C51="Gate"),"◆","■"),"")</x:f>
        <x:v>■</x:v>
      </x:c>
      <x:c r="Z51" s="37" t="str">
        <x:f t="shared" si="47">IF(AND($I51&lt;=Z$4+6,$J51&gt;=Z$4),IF(OR($C51="Milestone",$C51="Gate"),"◆","■"),"")</x:f>
      </x:c>
      <x:c r="AA51" s="37" t="str">
        <x:f t="shared" si="47">IF(AND($I51&lt;=AA$4+6,$J51&gt;=AA$4),IF(OR($C51="Milestone",$C51="Gate"),"◆","■"),"")</x:f>
      </x:c>
      <x:c r="AB51" s="37" t="str">
        <x:f t="shared" si="47">IF(AND($I51&lt;=AB$4+6,$J51&gt;=AB$4),IF(OR($C51="Milestone",$C51="Gate"),"◆","■"),"")</x:f>
      </x:c>
      <x:c r="AC51" s="37" t="str">
        <x:f t="shared" si="47">IF(AND($I51&lt;=AC$4+6,$J51&gt;=AC$4),IF(OR($C51="Milestone",$C51="Gate"),"◆","■"),"")</x:f>
      </x:c>
    </x:row>
    <x:row r="52" ht="34" customHeight="1">
      <x:c r="A52" s="24" t="str">
        <x:v>CM01</x:v>
      </x:c>
      <x:c r="B52" s="24" t="str">
        <x:v>Extension: Community</x:v>
      </x:c>
      <x:c r="C52" s="24" t="str">
        <x:v>Task</x:v>
      </x:c>
      <x:c r="D52" s="24" t="str">
        <x:v>Community governance</x:v>
      </x:c>
      <x:c r="E52" s="24" t="str">
        <x:v>Approve private-community membership, privacy and moderation rules</x:v>
      </x:c>
      <x:c r="F52" s="24" t="str">
        <x:v>Shahriar Islam</x:v>
      </x:c>
      <x:c r="G52" s="24" t="str">
        <x:v>Irfan</x:v>
      </x:c>
      <x:c r="H52" s="25" t="n">
        <x:v>6</x:v>
      </x:c>
      <x:c r="I52" s="26" t="n">
        <x:v>46364</x:v>
      </x:c>
      <x:c r="J52" s="26" t="n">
        <x:v>46368</x:v>
      </x:c>
      <x:c r="K52" s="24" t="str">
        <x:v>M2</x:v>
      </x:c>
      <x:c r="L52" s="24" t="str">
        <x:v>Not started</x:v>
      </x:c>
      <x:c r="M52" s="24" t="str">
        <x:v>Membership states and moderator actions approved</x:v>
      </x:c>
      <x:c r="N52" s="24" t="str">
        <x:v>Private content must not enter public caches</x:v>
      </x:c>
      <x:c r="O52" s="38" t="str">
        <x:f t="shared" ref="O52:AC52" si="48">IF(AND($I52&lt;=O$4+6,$J52&gt;=O$4),IF(OR($C52="Milestone",$C52="Gate"),"◆","■"),"")</x:f>
      </x:c>
      <x:c r="P52" s="38" t="str">
        <x:f t="shared" si="48">IF(AND($I52&lt;=P$4+6,$J52&gt;=P$4),IF(OR($C52="Milestone",$C52="Gate"),"◆","■"),"")</x:f>
      </x:c>
      <x:c r="Q52" s="38" t="str">
        <x:f t="shared" si="48">IF(AND($I52&lt;=Q$4+6,$J52&gt;=Q$4),IF(OR($C52="Milestone",$C52="Gate"),"◆","■"),"")</x:f>
      </x:c>
      <x:c r="R52" s="38" t="str">
        <x:f t="shared" si="48">IF(AND($I52&lt;=R$4+6,$J52&gt;=R$4),IF(OR($C52="Milestone",$C52="Gate"),"◆","■"),"")</x:f>
      </x:c>
      <x:c r="S52" s="38" t="str">
        <x:f t="shared" si="48">IF(AND($I52&lt;=S$4+6,$J52&gt;=S$4),IF(OR($C52="Milestone",$C52="Gate"),"◆","■"),"")</x:f>
      </x:c>
      <x:c r="T52" s="38" t="str">
        <x:f t="shared" si="48">IF(AND($I52&lt;=T$4+6,$J52&gt;=T$4),IF(OR($C52="Milestone",$C52="Gate"),"◆","■"),"")</x:f>
      </x:c>
      <x:c r="U52" s="38" t="str">
        <x:f t="shared" si="48">IF(AND($I52&lt;=U$4+6,$J52&gt;=U$4),IF(OR($C52="Milestone",$C52="Gate"),"◆","■"),"")</x:f>
      </x:c>
      <x:c r="V52" s="38" t="str">
        <x:f t="shared" si="48">IF(AND($I52&lt;=V$4+6,$J52&gt;=V$4),IF(OR($C52="Milestone",$C52="Gate"),"◆","■"),"")</x:f>
      </x:c>
      <x:c r="W52" s="38" t="str">
        <x:f t="shared" si="48">IF(AND($I52&lt;=W$4+6,$J52&gt;=W$4),IF(OR($C52="Milestone",$C52="Gate"),"◆","■"),"")</x:f>
        <x:v>■</x:v>
      </x:c>
      <x:c r="X52" s="38" t="str">
        <x:f t="shared" si="48">IF(AND($I52&lt;=X$4+6,$J52&gt;=X$4),IF(OR($C52="Milestone",$C52="Gate"),"◆","■"),"")</x:f>
      </x:c>
      <x:c r="Y52" s="38" t="str">
        <x:f t="shared" si="48">IF(AND($I52&lt;=Y$4+6,$J52&gt;=Y$4),IF(OR($C52="Milestone",$C52="Gate"),"◆","■"),"")</x:f>
      </x:c>
      <x:c r="Z52" s="38" t="str">
        <x:f t="shared" si="48">IF(AND($I52&lt;=Z$4+6,$J52&gt;=Z$4),IF(OR($C52="Milestone",$C52="Gate"),"◆","■"),"")</x:f>
      </x:c>
      <x:c r="AA52" s="38" t="str">
        <x:f t="shared" si="48">IF(AND($I52&lt;=AA$4+6,$J52&gt;=AA$4),IF(OR($C52="Milestone",$C52="Gate"),"◆","■"),"")</x:f>
      </x:c>
      <x:c r="AB52" s="38" t="str">
        <x:f t="shared" si="48">IF(AND($I52&lt;=AB$4+6,$J52&gt;=AB$4),IF(OR($C52="Milestone",$C52="Gate"),"◆","■"),"")</x:f>
      </x:c>
      <x:c r="AC52" s="38" t="str">
        <x:f t="shared" si="48">IF(AND($I52&lt;=AC$4+6,$J52&gt;=AC$4),IF(OR($C52="Milestone",$C52="Gate"),"◆","■"),"")</x:f>
      </x:c>
    </x:row>
    <x:row r="53" ht="34" customHeight="1">
      <x:c r="A53" s="24" t="str">
        <x:v>CM02</x:v>
      </x:c>
      <x:c r="B53" s="24" t="str">
        <x:v>Extension: Community</x:v>
      </x:c>
      <x:c r="C53" s="24" t="str">
        <x:v>Task</x:v>
      </x:c>
      <x:c r="D53" s="24" t="str">
        <x:v>Community backend</x:v>
      </x:c>
      <x:c r="E53" s="24" t="str">
        <x:v>Implement community, membership and private-post services</x:v>
      </x:c>
      <x:c r="F53" s="24" t="str">
        <x:v>Syed Muhtasim Alam</x:v>
      </x:c>
      <x:c r="G53" s="24" t="str">
        <x:v>Shahriar</x:v>
      </x:c>
      <x:c r="H53" s="25" t="n">
        <x:v>6</x:v>
      </x:c>
      <x:c r="I53" s="26" t="n">
        <x:v>46369</x:v>
      </x:c>
      <x:c r="J53" s="26" t="n">
        <x:v>46376</x:v>
      </x:c>
      <x:c r="K53" s="24" t="str">
        <x:v>CM01</x:v>
      </x:c>
      <x:c r="L53" s="24" t="str">
        <x:v>Not started</x:v>
      </x:c>
      <x:c r="M53" s="24" t="str">
        <x:v>Membership and authorization tests pass</x:v>
      </x:c>
      <x:c r="N53" s="24" t="str">
        <x:v>Enforce access server-side on every request</x:v>
      </x:c>
      <x:c r="O53" s="37" t="str">
        <x:f t="shared" ref="O53:AC53" si="49">IF(AND($I53&lt;=O$4+6,$J53&gt;=O$4),IF(OR($C53="Milestone",$C53="Gate"),"◆","■"),"")</x:f>
      </x:c>
      <x:c r="P53" s="37" t="str">
        <x:f t="shared" si="49">IF(AND($I53&lt;=P$4+6,$J53&gt;=P$4),IF(OR($C53="Milestone",$C53="Gate"),"◆","■"),"")</x:f>
      </x:c>
      <x:c r="Q53" s="37" t="str">
        <x:f t="shared" si="49">IF(AND($I53&lt;=Q$4+6,$J53&gt;=Q$4),IF(OR($C53="Milestone",$C53="Gate"),"◆","■"),"")</x:f>
      </x:c>
      <x:c r="R53" s="37" t="str">
        <x:f t="shared" si="49">IF(AND($I53&lt;=R$4+6,$J53&gt;=R$4),IF(OR($C53="Milestone",$C53="Gate"),"◆","■"),"")</x:f>
      </x:c>
      <x:c r="S53" s="37" t="str">
        <x:f t="shared" si="49">IF(AND($I53&lt;=S$4+6,$J53&gt;=S$4),IF(OR($C53="Milestone",$C53="Gate"),"◆","■"),"")</x:f>
      </x:c>
      <x:c r="T53" s="37" t="str">
        <x:f t="shared" si="49">IF(AND($I53&lt;=T$4+6,$J53&gt;=T$4),IF(OR($C53="Milestone",$C53="Gate"),"◆","■"),"")</x:f>
      </x:c>
      <x:c r="U53" s="37" t="str">
        <x:f t="shared" si="49">IF(AND($I53&lt;=U$4+6,$J53&gt;=U$4),IF(OR($C53="Milestone",$C53="Gate"),"◆","■"),"")</x:f>
      </x:c>
      <x:c r="V53" s="37" t="str">
        <x:f t="shared" si="49">IF(AND($I53&lt;=V$4+6,$J53&gt;=V$4),IF(OR($C53="Milestone",$C53="Gate"),"◆","■"),"")</x:f>
      </x:c>
      <x:c r="W53" s="37" t="str">
        <x:f t="shared" si="49">IF(AND($I53&lt;=W$4+6,$J53&gt;=W$4),IF(OR($C53="Milestone",$C53="Gate"),"◆","■"),"")</x:f>
        <x:v>■</x:v>
      </x:c>
      <x:c r="X53" s="37" t="str">
        <x:f t="shared" si="49">IF(AND($I53&lt;=X$4+6,$J53&gt;=X$4),IF(OR($C53="Milestone",$C53="Gate"),"◆","■"),"")</x:f>
        <x:v>■</x:v>
      </x:c>
      <x:c r="Y53" s="37" t="str">
        <x:f t="shared" si="49">IF(AND($I53&lt;=Y$4+6,$J53&gt;=Y$4),IF(OR($C53="Milestone",$C53="Gate"),"◆","■"),"")</x:f>
      </x:c>
      <x:c r="Z53" s="37" t="str">
        <x:f t="shared" si="49">IF(AND($I53&lt;=Z$4+6,$J53&gt;=Z$4),IF(OR($C53="Milestone",$C53="Gate"),"◆","■"),"")</x:f>
      </x:c>
      <x:c r="AA53" s="37" t="str">
        <x:f t="shared" si="49">IF(AND($I53&lt;=AA$4+6,$J53&gt;=AA$4),IF(OR($C53="Milestone",$C53="Gate"),"◆","■"),"")</x:f>
      </x:c>
      <x:c r="AB53" s="37" t="str">
        <x:f t="shared" si="49">IF(AND($I53&lt;=AB$4+6,$J53&gt;=AB$4),IF(OR($C53="Milestone",$C53="Gate"),"◆","■"),"")</x:f>
      </x:c>
      <x:c r="AC53" s="37" t="str">
        <x:f t="shared" si="49">IF(AND($I53&lt;=AC$4+6,$J53&gt;=AC$4),IF(OR($C53="Milestone",$C53="Gate"),"◆","■"),"")</x:f>
      </x:c>
    </x:row>
    <x:row r="54" ht="34" customHeight="1">
      <x:c r="A54" s="24" t="str">
        <x:v>CM03</x:v>
      </x:c>
      <x:c r="B54" s="24" t="str">
        <x:v>Extension: Community</x:v>
      </x:c>
      <x:c r="C54" s="24" t="str">
        <x:v>Task</x:v>
      </x:c>
      <x:c r="D54" s="24" t="str">
        <x:v>Community frontend</x:v>
      </x:c>
      <x:c r="E54" s="24" t="str">
        <x:v>Build private community, membership and discussion interface</x:v>
      </x:c>
      <x:c r="F54" s="24" t="str">
        <x:v>Abdullah Bin Sorwar Choudhury</x:v>
      </x:c>
      <x:c r="G54" s="24" t="str">
        <x:v>Muhtasim</x:v>
      </x:c>
      <x:c r="H54" s="25" t="n">
        <x:v>6</x:v>
      </x:c>
      <x:c r="I54" s="26" t="n">
        <x:v>46377</x:v>
      </x:c>
      <x:c r="J54" s="26" t="n">
        <x:v>46381</x:v>
      </x:c>
      <x:c r="K54" s="24" t="str">
        <x:v>CM02</x:v>
      </x:c>
      <x:c r="L54" s="24" t="str">
        <x:v>Not started</x:v>
      </x:c>
      <x:c r="M54" s="24" t="str">
        <x:v>Verified Members can use authorized community flows</x:v>
      </x:c>
      <x:c r="N54" s="24" t="str">
        <x:v>Clear private/offline boundaries</x:v>
      </x:c>
      <x:c r="O54" s="38" t="str">
        <x:f t="shared" ref="O54:AC54" si="50">IF(AND($I54&lt;=O$4+6,$J54&gt;=O$4),IF(OR($C54="Milestone",$C54="Gate"),"◆","■"),"")</x:f>
      </x:c>
      <x:c r="P54" s="38" t="str">
        <x:f t="shared" si="50">IF(AND($I54&lt;=P$4+6,$J54&gt;=P$4),IF(OR($C54="Milestone",$C54="Gate"),"◆","■"),"")</x:f>
      </x:c>
      <x:c r="Q54" s="38" t="str">
        <x:f t="shared" si="50">IF(AND($I54&lt;=Q$4+6,$J54&gt;=Q$4),IF(OR($C54="Milestone",$C54="Gate"),"◆","■"),"")</x:f>
      </x:c>
      <x:c r="R54" s="38" t="str">
        <x:f t="shared" si="50">IF(AND($I54&lt;=R$4+6,$J54&gt;=R$4),IF(OR($C54="Milestone",$C54="Gate"),"◆","■"),"")</x:f>
      </x:c>
      <x:c r="S54" s="38" t="str">
        <x:f t="shared" si="50">IF(AND($I54&lt;=S$4+6,$J54&gt;=S$4),IF(OR($C54="Milestone",$C54="Gate"),"◆","■"),"")</x:f>
      </x:c>
      <x:c r="T54" s="38" t="str">
        <x:f t="shared" si="50">IF(AND($I54&lt;=T$4+6,$J54&gt;=T$4),IF(OR($C54="Milestone",$C54="Gate"),"◆","■"),"")</x:f>
      </x:c>
      <x:c r="U54" s="38" t="str">
        <x:f t="shared" si="50">IF(AND($I54&lt;=U$4+6,$J54&gt;=U$4),IF(OR($C54="Milestone",$C54="Gate"),"◆","■"),"")</x:f>
      </x:c>
      <x:c r="V54" s="38" t="str">
        <x:f t="shared" si="50">IF(AND($I54&lt;=V$4+6,$J54&gt;=V$4),IF(OR($C54="Milestone",$C54="Gate"),"◆","■"),"")</x:f>
      </x:c>
      <x:c r="W54" s="38" t="str">
        <x:f t="shared" si="50">IF(AND($I54&lt;=W$4+6,$J54&gt;=W$4),IF(OR($C54="Milestone",$C54="Gate"),"◆","■"),"")</x:f>
      </x:c>
      <x:c r="X54" s="38" t="str">
        <x:f t="shared" si="50">IF(AND($I54&lt;=X$4+6,$J54&gt;=X$4),IF(OR($C54="Milestone",$C54="Gate"),"◆","■"),"")</x:f>
      </x:c>
      <x:c r="Y54" s="38" t="str">
        <x:f t="shared" si="50">IF(AND($I54&lt;=Y$4+6,$J54&gt;=Y$4),IF(OR($C54="Milestone",$C54="Gate"),"◆","■"),"")</x:f>
        <x:v>■</x:v>
      </x:c>
      <x:c r="Z54" s="38" t="str">
        <x:f t="shared" si="50">IF(AND($I54&lt;=Z$4+6,$J54&gt;=Z$4),IF(OR($C54="Milestone",$C54="Gate"),"◆","■"),"")</x:f>
      </x:c>
      <x:c r="AA54" s="38" t="str">
        <x:f t="shared" si="50">IF(AND($I54&lt;=AA$4+6,$J54&gt;=AA$4),IF(OR($C54="Milestone",$C54="Gate"),"◆","■"),"")</x:f>
      </x:c>
      <x:c r="AB54" s="38" t="str">
        <x:f t="shared" si="50">IF(AND($I54&lt;=AB$4+6,$J54&gt;=AB$4),IF(OR($C54="Milestone",$C54="Gate"),"◆","■"),"")</x:f>
      </x:c>
      <x:c r="AC54" s="38" t="str">
        <x:f t="shared" si="50">IF(AND($I54&lt;=AC$4+6,$J54&gt;=AC$4),IF(OR($C54="Milestone",$C54="Gate"),"◆","■"),"")</x:f>
      </x:c>
    </x:row>
    <x:row r="55" ht="34" customHeight="1">
      <x:c r="A55" s="24" t="str">
        <x:v>CM04</x:v>
      </x:c>
      <x:c r="B55" s="24" t="str">
        <x:v>Extension: Community</x:v>
      </x:c>
      <x:c r="C55" s="24" t="str">
        <x:v>Task</x:v>
      </x:c>
      <x:c r="D55" s="24" t="str">
        <x:v>Community QA</x:v>
      </x:c>
      <x:c r="E55" s="24" t="str">
        <x:v>Test permissions, reporting, blocking and privacy boundaries</x:v>
      </x:c>
      <x:c r="F55" s="24" t="str">
        <x:v>Md. Irfan Iqbal</x:v>
      </x:c>
      <x:c r="G55" s="24" t="str">
        <x:v>All</x:v>
      </x:c>
      <x:c r="H55" s="25" t="n">
        <x:v>6</x:v>
      </x:c>
      <x:c r="I55" s="26" t="n">
        <x:v>46382</x:v>
      </x:c>
      <x:c r="J55" s="26" t="n">
        <x:v>46385</x:v>
      </x:c>
      <x:c r="K55" s="24" t="str">
        <x:v>CM02,CM03</x:v>
      </x:c>
      <x:c r="L55" s="24" t="str">
        <x:v>Not started</x:v>
      </x:c>
      <x:c r="M55" s="24" t="str">
        <x:v>Negative authorization and moderation tests pass</x:v>
      </x:c>
      <x:c r="N55" s="24" t="str">
        <x:v>Test removed and revoked memberships</x:v>
      </x:c>
      <x:c r="O55" s="37" t="str">
        <x:f t="shared" ref="O55:AC55" si="51">IF(AND($I55&lt;=O$4+6,$J55&gt;=O$4),IF(OR($C55="Milestone",$C55="Gate"),"◆","■"),"")</x:f>
      </x:c>
      <x:c r="P55" s="37" t="str">
        <x:f t="shared" si="51">IF(AND($I55&lt;=P$4+6,$J55&gt;=P$4),IF(OR($C55="Milestone",$C55="Gate"),"◆","■"),"")</x:f>
      </x:c>
      <x:c r="Q55" s="37" t="str">
        <x:f t="shared" si="51">IF(AND($I55&lt;=Q$4+6,$J55&gt;=Q$4),IF(OR($C55="Milestone",$C55="Gate"),"◆","■"),"")</x:f>
      </x:c>
      <x:c r="R55" s="37" t="str">
        <x:f t="shared" si="51">IF(AND($I55&lt;=R$4+6,$J55&gt;=R$4),IF(OR($C55="Milestone",$C55="Gate"),"◆","■"),"")</x:f>
      </x:c>
      <x:c r="S55" s="37" t="str">
        <x:f t="shared" si="51">IF(AND($I55&lt;=S$4+6,$J55&gt;=S$4),IF(OR($C55="Milestone",$C55="Gate"),"◆","■"),"")</x:f>
      </x:c>
      <x:c r="T55" s="37" t="str">
        <x:f t="shared" si="51">IF(AND($I55&lt;=T$4+6,$J55&gt;=T$4),IF(OR($C55="Milestone",$C55="Gate"),"◆","■"),"")</x:f>
      </x:c>
      <x:c r="U55" s="37" t="str">
        <x:f t="shared" si="51">IF(AND($I55&lt;=U$4+6,$J55&gt;=U$4),IF(OR($C55="Milestone",$C55="Gate"),"◆","■"),"")</x:f>
      </x:c>
      <x:c r="V55" s="37" t="str">
        <x:f t="shared" si="51">IF(AND($I55&lt;=V$4+6,$J55&gt;=V$4),IF(OR($C55="Milestone",$C55="Gate"),"◆","■"),"")</x:f>
      </x:c>
      <x:c r="W55" s="37" t="str">
        <x:f t="shared" si="51">IF(AND($I55&lt;=W$4+6,$J55&gt;=W$4),IF(OR($C55="Milestone",$C55="Gate"),"◆","■"),"")</x:f>
      </x:c>
      <x:c r="X55" s="37" t="str">
        <x:f t="shared" si="51">IF(AND($I55&lt;=X$4+6,$J55&gt;=X$4),IF(OR($C55="Milestone",$C55="Gate"),"◆","■"),"")</x:f>
      </x:c>
      <x:c r="Y55" s="37" t="str">
        <x:f t="shared" si="51">IF(AND($I55&lt;=Y$4+6,$J55&gt;=Y$4),IF(OR($C55="Milestone",$C55="Gate"),"◆","■"),"")</x:f>
        <x:v>■</x:v>
      </x:c>
      <x:c r="Z55" s="37" t="str">
        <x:f t="shared" si="51">IF(AND($I55&lt;=Z$4+6,$J55&gt;=Z$4),IF(OR($C55="Milestone",$C55="Gate"),"◆","■"),"")</x:f>
        <x:v>■</x:v>
      </x:c>
      <x:c r="AA55" s="37" t="str">
        <x:f t="shared" si="51">IF(AND($I55&lt;=AA$4+6,$J55&gt;=AA$4),IF(OR($C55="Milestone",$C55="Gate"),"◆","■"),"")</x:f>
      </x:c>
      <x:c r="AB55" s="37" t="str">
        <x:f t="shared" si="51">IF(AND($I55&lt;=AB$4+6,$J55&gt;=AB$4),IF(OR($C55="Milestone",$C55="Gate"),"◆","■"),"")</x:f>
      </x:c>
      <x:c r="AC55" s="37" t="str">
        <x:f t="shared" si="51">IF(AND($I55&lt;=AC$4+6,$J55&gt;=AC$4),IF(OR($C55="Milestone",$C55="Gate"),"◆","■"),"")</x:f>
      </x:c>
    </x:row>
    <x:row r="56" ht="34" customHeight="1">
      <x:c r="A56" s="24" t="str">
        <x:v>TM01</x:v>
      </x:c>
      <x:c r="B56" s="24" t="str">
        <x:v>Extension: Tourmates</x:v>
      </x:c>
      <x:c r="C56" s="24" t="str">
        <x:v>Task</x:v>
      </x:c>
      <x:c r="D56" s="24" t="str">
        <x:v>Tourmate governance</x:v>
      </x:c>
      <x:c r="E56" s="24" t="str">
        <x:v>Approve organiser, join, safety and women-only tour rules</x:v>
      </x:c>
      <x:c r="F56" s="24" t="str">
        <x:v>Shahriar Islam</x:v>
      </x:c>
      <x:c r="G56" s="24" t="str">
        <x:v>Irfan</x:v>
      </x:c>
      <x:c r="H56" s="25" t="n">
        <x:v>6</x:v>
      </x:c>
      <x:c r="I56" s="26" t="n">
        <x:v>46369</x:v>
      </x:c>
      <x:c r="J56" s="26" t="n">
        <x:v>46373</x:v>
      </x:c>
      <x:c r="K56" s="24" t="str">
        <x:v>CM01</x:v>
      </x:c>
      <x:c r="L56" s="24" t="str">
        <x:v>Not started</x:v>
      </x:c>
      <x:c r="M56" s="24" t="str">
        <x:v>Eligibility, visibility and safety rules approved</x:v>
      </x:c>
      <x:c r="N56" s="24" t="str">
        <x:v>Do not claim active safety monitoring</x:v>
      </x:c>
      <x:c r="O56" s="38" t="str">
        <x:f t="shared" ref="O56:AC56" si="52">IF(AND($I56&lt;=O$4+6,$J56&gt;=O$4),IF(OR($C56="Milestone",$C56="Gate"),"◆","■"),"")</x:f>
      </x:c>
      <x:c r="P56" s="38" t="str">
        <x:f t="shared" si="52">IF(AND($I56&lt;=P$4+6,$J56&gt;=P$4),IF(OR($C56="Milestone",$C56="Gate"),"◆","■"),"")</x:f>
      </x:c>
      <x:c r="Q56" s="38" t="str">
        <x:f t="shared" si="52">IF(AND($I56&lt;=Q$4+6,$J56&gt;=Q$4),IF(OR($C56="Milestone",$C56="Gate"),"◆","■"),"")</x:f>
      </x:c>
      <x:c r="R56" s="38" t="str">
        <x:f t="shared" si="52">IF(AND($I56&lt;=R$4+6,$J56&gt;=R$4),IF(OR($C56="Milestone",$C56="Gate"),"◆","■"),"")</x:f>
      </x:c>
      <x:c r="S56" s="38" t="str">
        <x:f t="shared" si="52">IF(AND($I56&lt;=S$4+6,$J56&gt;=S$4),IF(OR($C56="Milestone",$C56="Gate"),"◆","■"),"")</x:f>
      </x:c>
      <x:c r="T56" s="38" t="str">
        <x:f t="shared" si="52">IF(AND($I56&lt;=T$4+6,$J56&gt;=T$4),IF(OR($C56="Milestone",$C56="Gate"),"◆","■"),"")</x:f>
      </x:c>
      <x:c r="U56" s="38" t="str">
        <x:f t="shared" si="52">IF(AND($I56&lt;=U$4+6,$J56&gt;=U$4),IF(OR($C56="Milestone",$C56="Gate"),"◆","■"),"")</x:f>
      </x:c>
      <x:c r="V56" s="38" t="str">
        <x:f t="shared" si="52">IF(AND($I56&lt;=V$4+6,$J56&gt;=V$4),IF(OR($C56="Milestone",$C56="Gate"),"◆","■"),"")</x:f>
      </x:c>
      <x:c r="W56" s="38" t="str">
        <x:f t="shared" si="52">IF(AND($I56&lt;=W$4+6,$J56&gt;=W$4),IF(OR($C56="Milestone",$C56="Gate"),"◆","■"),"")</x:f>
        <x:v>■</x:v>
      </x:c>
      <x:c r="X56" s="38" t="str">
        <x:f t="shared" si="52">IF(AND($I56&lt;=X$4+6,$J56&gt;=X$4),IF(OR($C56="Milestone",$C56="Gate"),"◆","■"),"")</x:f>
        <x:v>■</x:v>
      </x:c>
      <x:c r="Y56" s="38" t="str">
        <x:f t="shared" si="52">IF(AND($I56&lt;=Y$4+6,$J56&gt;=Y$4),IF(OR($C56="Milestone",$C56="Gate"),"◆","■"),"")</x:f>
      </x:c>
      <x:c r="Z56" s="38" t="str">
        <x:f t="shared" si="52">IF(AND($I56&lt;=Z$4+6,$J56&gt;=Z$4),IF(OR($C56="Milestone",$C56="Gate"),"◆","■"),"")</x:f>
      </x:c>
      <x:c r="AA56" s="38" t="str">
        <x:f t="shared" si="52">IF(AND($I56&lt;=AA$4+6,$J56&gt;=AA$4),IF(OR($C56="Milestone",$C56="Gate"),"◆","■"),"")</x:f>
      </x:c>
      <x:c r="AB56" s="38" t="str">
        <x:f t="shared" si="52">IF(AND($I56&lt;=AB$4+6,$J56&gt;=AB$4),IF(OR($C56="Milestone",$C56="Gate"),"◆","■"),"")</x:f>
      </x:c>
      <x:c r="AC56" s="38" t="str">
        <x:f t="shared" si="52">IF(AND($I56&lt;=AC$4+6,$J56&gt;=AC$4),IF(OR($C56="Milestone",$C56="Gate"),"◆","■"),"")</x:f>
      </x:c>
    </x:row>
    <x:row r="57" ht="34" customHeight="1">
      <x:c r="A57" s="24" t="str">
        <x:v>TM02</x:v>
      </x:c>
      <x:c r="B57" s="24" t="str">
        <x:v>Extension: Tourmates</x:v>
      </x:c>
      <x:c r="C57" s="24" t="str">
        <x:v>Task</x:v>
      </x:c>
      <x:c r="D57" s="24" t="str">
        <x:v>Tourmate backend</x:v>
      </x:c>
      <x:c r="E57" s="24" t="str">
        <x:v>Implement tours, join requests, capacity and discussion access</x:v>
      </x:c>
      <x:c r="F57" s="24" t="str">
        <x:v>Syed Muhtasim Alam</x:v>
      </x:c>
      <x:c r="G57" s="24" t="str">
        <x:v>Shahriar</x:v>
      </x:c>
      <x:c r="H57" s="25" t="n">
        <x:v>6</x:v>
      </x:c>
      <x:c r="I57" s="26" t="n">
        <x:v>46377</x:v>
      </x:c>
      <x:c r="J57" s="26" t="n">
        <x:v>46383</x:v>
      </x:c>
      <x:c r="K57" s="24" t="str">
        <x:v>TM01,CM02</x:v>
      </x:c>
      <x:c r="L57" s="24" t="str">
        <x:v>Not started</x:v>
      </x:c>
      <x:c r="M57" s="24" t="str">
        <x:v>State, capacity and authorization tests pass</x:v>
      </x:c>
      <x:c r="N57" s="24" t="str">
        <x:v>Prevent over-capacity and unauthorized access</x:v>
      </x:c>
      <x:c r="O57" s="37" t="str">
        <x:f t="shared" ref="O57:AC57" si="53">IF(AND($I57&lt;=O$4+6,$J57&gt;=O$4),IF(OR($C57="Milestone",$C57="Gate"),"◆","■"),"")</x:f>
      </x:c>
      <x:c r="P57" s="37" t="str">
        <x:f t="shared" si="53">IF(AND($I57&lt;=P$4+6,$J57&gt;=P$4),IF(OR($C57="Milestone",$C57="Gate"),"◆","■"),"")</x:f>
      </x:c>
      <x:c r="Q57" s="37" t="str">
        <x:f t="shared" si="53">IF(AND($I57&lt;=Q$4+6,$J57&gt;=Q$4),IF(OR($C57="Milestone",$C57="Gate"),"◆","■"),"")</x:f>
      </x:c>
      <x:c r="R57" s="37" t="str">
        <x:f t="shared" si="53">IF(AND($I57&lt;=R$4+6,$J57&gt;=R$4),IF(OR($C57="Milestone",$C57="Gate"),"◆","■"),"")</x:f>
      </x:c>
      <x:c r="S57" s="37" t="str">
        <x:f t="shared" si="53">IF(AND($I57&lt;=S$4+6,$J57&gt;=S$4),IF(OR($C57="Milestone",$C57="Gate"),"◆","■"),"")</x:f>
      </x:c>
      <x:c r="T57" s="37" t="str">
        <x:f t="shared" si="53">IF(AND($I57&lt;=T$4+6,$J57&gt;=T$4),IF(OR($C57="Milestone",$C57="Gate"),"◆","■"),"")</x:f>
      </x:c>
      <x:c r="U57" s="37" t="str">
        <x:f t="shared" si="53">IF(AND($I57&lt;=U$4+6,$J57&gt;=U$4),IF(OR($C57="Milestone",$C57="Gate"),"◆","■"),"")</x:f>
      </x:c>
      <x:c r="V57" s="37" t="str">
        <x:f t="shared" si="53">IF(AND($I57&lt;=V$4+6,$J57&gt;=V$4),IF(OR($C57="Milestone",$C57="Gate"),"◆","■"),"")</x:f>
      </x:c>
      <x:c r="W57" s="37" t="str">
        <x:f t="shared" si="53">IF(AND($I57&lt;=W$4+6,$J57&gt;=W$4),IF(OR($C57="Milestone",$C57="Gate"),"◆","■"),"")</x:f>
      </x:c>
      <x:c r="X57" s="37" t="str">
        <x:f t="shared" si="53">IF(AND($I57&lt;=X$4+6,$J57&gt;=X$4),IF(OR($C57="Milestone",$C57="Gate"),"◆","■"),"")</x:f>
      </x:c>
      <x:c r="Y57" s="37" t="str">
        <x:f t="shared" si="53">IF(AND($I57&lt;=Y$4+6,$J57&gt;=Y$4),IF(OR($C57="Milestone",$C57="Gate"),"◆","■"),"")</x:f>
        <x:v>■</x:v>
      </x:c>
      <x:c r="Z57" s="37" t="str">
        <x:f t="shared" si="53">IF(AND($I57&lt;=Z$4+6,$J57&gt;=Z$4),IF(OR($C57="Milestone",$C57="Gate"),"◆","■"),"")</x:f>
      </x:c>
      <x:c r="AA57" s="37" t="str">
        <x:f t="shared" si="53">IF(AND($I57&lt;=AA$4+6,$J57&gt;=AA$4),IF(OR($C57="Milestone",$C57="Gate"),"◆","■"),"")</x:f>
      </x:c>
      <x:c r="AB57" s="37" t="str">
        <x:f t="shared" si="53">IF(AND($I57&lt;=AB$4+6,$J57&gt;=AB$4),IF(OR($C57="Milestone",$C57="Gate"),"◆","■"),"")</x:f>
      </x:c>
      <x:c r="AC57" s="37" t="str">
        <x:f t="shared" si="53">IF(AND($I57&lt;=AC$4+6,$J57&gt;=AC$4),IF(OR($C57="Milestone",$C57="Gate"),"◆","■"),"")</x:f>
      </x:c>
    </x:row>
    <x:row r="58" ht="34" customHeight="1">
      <x:c r="A58" s="24" t="str">
        <x:v>TM03</x:v>
      </x:c>
      <x:c r="B58" s="24" t="str">
        <x:v>Extension: Tourmates</x:v>
      </x:c>
      <x:c r="C58" s="24" t="str">
        <x:v>Task</x:v>
      </x:c>
      <x:c r="D58" s="24" t="str">
        <x:v>Tourmate frontend</x:v>
      </x:c>
      <x:c r="E58" s="24" t="str">
        <x:v>Build tour discovery, join-request and private discussion flows</x:v>
      </x:c>
      <x:c r="F58" s="24" t="str">
        <x:v>Abdullah Bin Sorwar Choudhury</x:v>
      </x:c>
      <x:c r="G58" s="24" t="str">
        <x:v>Muhtasim</x:v>
      </x:c>
      <x:c r="H58" s="25" t="n">
        <x:v>6</x:v>
      </x:c>
      <x:c r="I58" s="26" t="n">
        <x:v>46382</x:v>
      </x:c>
      <x:c r="J58" s="26" t="n">
        <x:v>46386</x:v>
      </x:c>
      <x:c r="K58" s="24" t="str">
        <x:v>TM01,CM03</x:v>
      </x:c>
      <x:c r="L58" s="24" t="str">
        <x:v>Not started</x:v>
      </x:c>
      <x:c r="M58" s="24" t="str">
        <x:v>Organizer and participant journeys work end to end</x:v>
      </x:c>
      <x:c r="N58" s="24" t="str">
        <x:v>Show verification, report and block controls</x:v>
      </x:c>
      <x:c r="O58" s="38" t="str">
        <x:f t="shared" ref="O58:AC58" si="54">IF(AND($I58&lt;=O$4+6,$J58&gt;=O$4),IF(OR($C58="Milestone",$C58="Gate"),"◆","■"),"")</x:f>
      </x:c>
      <x:c r="P58" s="38" t="str">
        <x:f t="shared" si="54">IF(AND($I58&lt;=P$4+6,$J58&gt;=P$4),IF(OR($C58="Milestone",$C58="Gate"),"◆","■"),"")</x:f>
      </x:c>
      <x:c r="Q58" s="38" t="str">
        <x:f t="shared" si="54">IF(AND($I58&lt;=Q$4+6,$J58&gt;=Q$4),IF(OR($C58="Milestone",$C58="Gate"),"◆","■"),"")</x:f>
      </x:c>
      <x:c r="R58" s="38" t="str">
        <x:f t="shared" si="54">IF(AND($I58&lt;=R$4+6,$J58&gt;=R$4),IF(OR($C58="Milestone",$C58="Gate"),"◆","■"),"")</x:f>
      </x:c>
      <x:c r="S58" s="38" t="str">
        <x:f t="shared" si="54">IF(AND($I58&lt;=S$4+6,$J58&gt;=S$4),IF(OR($C58="Milestone",$C58="Gate"),"◆","■"),"")</x:f>
      </x:c>
      <x:c r="T58" s="38" t="str">
        <x:f t="shared" si="54">IF(AND($I58&lt;=T$4+6,$J58&gt;=T$4),IF(OR($C58="Milestone",$C58="Gate"),"◆","■"),"")</x:f>
      </x:c>
      <x:c r="U58" s="38" t="str">
        <x:f t="shared" si="54">IF(AND($I58&lt;=U$4+6,$J58&gt;=U$4),IF(OR($C58="Milestone",$C58="Gate"),"◆","■"),"")</x:f>
      </x:c>
      <x:c r="V58" s="38" t="str">
        <x:f t="shared" si="54">IF(AND($I58&lt;=V$4+6,$J58&gt;=V$4),IF(OR($C58="Milestone",$C58="Gate"),"◆","■"),"")</x:f>
      </x:c>
      <x:c r="W58" s="38" t="str">
        <x:f t="shared" si="54">IF(AND($I58&lt;=W$4+6,$J58&gt;=W$4),IF(OR($C58="Milestone",$C58="Gate"),"◆","■"),"")</x:f>
      </x:c>
      <x:c r="X58" s="38" t="str">
        <x:f t="shared" si="54">IF(AND($I58&lt;=X$4+6,$J58&gt;=X$4),IF(OR($C58="Milestone",$C58="Gate"),"◆","■"),"")</x:f>
      </x:c>
      <x:c r="Y58" s="38" t="str">
        <x:f t="shared" si="54">IF(AND($I58&lt;=Y$4+6,$J58&gt;=Y$4),IF(OR($C58="Milestone",$C58="Gate"),"◆","■"),"")</x:f>
        <x:v>■</x:v>
      </x:c>
      <x:c r="Z58" s="38" t="str">
        <x:f t="shared" si="54">IF(AND($I58&lt;=Z$4+6,$J58&gt;=Z$4),IF(OR($C58="Milestone",$C58="Gate"),"◆","■"),"")</x:f>
        <x:v>■</x:v>
      </x:c>
      <x:c r="AA58" s="38" t="str">
        <x:f t="shared" si="54">IF(AND($I58&lt;=AA$4+6,$J58&gt;=AA$4),IF(OR($C58="Milestone",$C58="Gate"),"◆","■"),"")</x:f>
      </x:c>
      <x:c r="AB58" s="38" t="str">
        <x:f t="shared" si="54">IF(AND($I58&lt;=AB$4+6,$J58&gt;=AB$4),IF(OR($C58="Milestone",$C58="Gate"),"◆","■"),"")</x:f>
      </x:c>
      <x:c r="AC58" s="38" t="str">
        <x:f t="shared" si="54">IF(AND($I58&lt;=AC$4+6,$J58&gt;=AC$4),IF(OR($C58="Milestone",$C58="Gate"),"◆","■"),"")</x:f>
      </x:c>
    </x:row>
    <x:row r="59" ht="34" customHeight="1">
      <x:c r="A59" s="24" t="str">
        <x:v>TM04</x:v>
      </x:c>
      <x:c r="B59" s="24" t="str">
        <x:v>Extension: Tourmates</x:v>
      </x:c>
      <x:c r="C59" s="24" t="str">
        <x:v>Task</x:v>
      </x:c>
      <x:c r="D59" s="24" t="str">
        <x:v>Tourmate QA</x:v>
      </x:c>
      <x:c r="E59" s="24" t="str">
        <x:v>Test privacy, capacity, reporting and safety controls</x:v>
      </x:c>
      <x:c r="F59" s="24" t="str">
        <x:v>Md. Irfan Iqbal</x:v>
      </x:c>
      <x:c r="G59" s="24" t="str">
        <x:v>All</x:v>
      </x:c>
      <x:c r="H59" s="25" t="n">
        <x:v>6</x:v>
      </x:c>
      <x:c r="I59" s="26" t="n">
        <x:v>46387</x:v>
      </x:c>
      <x:c r="J59" s="26" t="n">
        <x:v>46389</x:v>
      </x:c>
      <x:c r="K59" s="24" t="str">
        <x:v>TM02,TM03</x:v>
      </x:c>
      <x:c r="L59" s="24" t="str">
        <x:v>Not started</x:v>
      </x:c>
      <x:c r="M59" s="24" t="str">
        <x:v>Approved safety and abuse cases have evidence</x:v>
      </x:c>
      <x:c r="N59" s="24" t="str">
        <x:v>Escalate unresolved blocker before Gate G1</x:v>
      </x:c>
      <x:c r="O59" s="37" t="str">
        <x:f t="shared" ref="O59:AC59" si="55">IF(AND($I59&lt;=O$4+6,$J59&gt;=O$4),IF(OR($C59="Milestone",$C59="Gate"),"◆","■"),"")</x:f>
      </x:c>
      <x:c r="P59" s="37" t="str">
        <x:f t="shared" si="55">IF(AND($I59&lt;=P$4+6,$J59&gt;=P$4),IF(OR($C59="Milestone",$C59="Gate"),"◆","■"),"")</x:f>
      </x:c>
      <x:c r="Q59" s="37" t="str">
        <x:f t="shared" si="55">IF(AND($I59&lt;=Q$4+6,$J59&gt;=Q$4),IF(OR($C59="Milestone",$C59="Gate"),"◆","■"),"")</x:f>
      </x:c>
      <x:c r="R59" s="37" t="str">
        <x:f t="shared" si="55">IF(AND($I59&lt;=R$4+6,$J59&gt;=R$4),IF(OR($C59="Milestone",$C59="Gate"),"◆","■"),"")</x:f>
      </x:c>
      <x:c r="S59" s="37" t="str">
        <x:f t="shared" si="55">IF(AND($I59&lt;=S$4+6,$J59&gt;=S$4),IF(OR($C59="Milestone",$C59="Gate"),"◆","■"),"")</x:f>
      </x:c>
      <x:c r="T59" s="37" t="str">
        <x:f t="shared" si="55">IF(AND($I59&lt;=T$4+6,$J59&gt;=T$4),IF(OR($C59="Milestone",$C59="Gate"),"◆","■"),"")</x:f>
      </x:c>
      <x:c r="U59" s="37" t="str">
        <x:f t="shared" si="55">IF(AND($I59&lt;=U$4+6,$J59&gt;=U$4),IF(OR($C59="Milestone",$C59="Gate"),"◆","■"),"")</x:f>
      </x:c>
      <x:c r="V59" s="37" t="str">
        <x:f t="shared" si="55">IF(AND($I59&lt;=V$4+6,$J59&gt;=V$4),IF(OR($C59="Milestone",$C59="Gate"),"◆","■"),"")</x:f>
      </x:c>
      <x:c r="W59" s="37" t="str">
        <x:f t="shared" si="55">IF(AND($I59&lt;=W$4+6,$J59&gt;=W$4),IF(OR($C59="Milestone",$C59="Gate"),"◆","■"),"")</x:f>
      </x:c>
      <x:c r="X59" s="37" t="str">
        <x:f t="shared" si="55">IF(AND($I59&lt;=X$4+6,$J59&gt;=X$4),IF(OR($C59="Milestone",$C59="Gate"),"◆","■"),"")</x:f>
      </x:c>
      <x:c r="Y59" s="37" t="str">
        <x:f t="shared" si="55">IF(AND($I59&lt;=Y$4+6,$J59&gt;=Y$4),IF(OR($C59="Milestone",$C59="Gate"),"◆","■"),"")</x:f>
      </x:c>
      <x:c r="Z59" s="37" t="str">
        <x:f t="shared" si="55">IF(AND($I59&lt;=Z$4+6,$J59&gt;=Z$4),IF(OR($C59="Milestone",$C59="Gate"),"◆","■"),"")</x:f>
        <x:v>■</x:v>
      </x:c>
      <x:c r="AA59" s="37" t="str">
        <x:f t="shared" si="55">IF(AND($I59&lt;=AA$4+6,$J59&gt;=AA$4),IF(OR($C59="Milestone",$C59="Gate"),"◆","■"),"")</x:f>
      </x:c>
      <x:c r="AB59" s="37" t="str">
        <x:f t="shared" si="55">IF(AND($I59&lt;=AB$4+6,$J59&gt;=AB$4),IF(OR($C59="Milestone",$C59="Gate"),"◆","■"),"")</x:f>
      </x:c>
      <x:c r="AC59" s="37" t="str">
        <x:f t="shared" si="55">IF(AND($I59&lt;=AC$4+6,$J59&gt;=AC$4),IF(OR($C59="Milestone",$C59="Gate"),"◆","■"),"")</x:f>
      </x:c>
    </x:row>
    <x:row r="60" ht="34" customHeight="1">
      <x:c r="A60" s="24" t="str">
        <x:v>VB01</x:v>
      </x:c>
      <x:c r="B60" s="24" t="str">
        <x:v>Extension: Vendors + Bookings</x:v>
      </x:c>
      <x:c r="C60" s="24" t="str">
        <x:v>Task</x:v>
      </x:c>
      <x:c r="D60" s="24" t="str">
        <x:v>Booking governance</x:v>
      </x:c>
      <x:c r="E60" s="24" t="str">
        <x:v>Approve vendor, agency, offering and reservation-status rules</x:v>
      </x:c>
      <x:c r="F60" s="24" t="str">
        <x:v>Shahriar Islam</x:v>
      </x:c>
      <x:c r="G60" s="24" t="str">
        <x:v>Muhtasim, Irfan</x:v>
      </x:c>
      <x:c r="H60" s="25" t="n">
        <x:v>6</x:v>
      </x:c>
      <x:c r="I60" s="26" t="n">
        <x:v>46364</x:v>
      </x:c>
      <x:c r="J60" s="26" t="n">
        <x:v>46368</x:v>
      </x:c>
      <x:c r="K60" s="24" t="str">
        <x:v>M2</x:v>
      </x:c>
      <x:c r="L60" s="24" t="str">
        <x:v>Not started</x:v>
      </x:c>
      <x:c r="M60" s="24" t="str">
        <x:v>Onboarding, commission and cancellation rules approved</x:v>
      </x:c>
      <x:c r="N60" s="24" t="str">
        <x:v>No claim of live inventory guarantee</x:v>
      </x:c>
      <x:c r="O60" s="38" t="str">
        <x:f t="shared" ref="O60:AC60" si="56">IF(AND($I60&lt;=O$4+6,$J60&gt;=O$4),IF(OR($C60="Milestone",$C60="Gate"),"◆","■"),"")</x:f>
      </x:c>
      <x:c r="P60" s="38" t="str">
        <x:f t="shared" si="56">IF(AND($I60&lt;=P$4+6,$J60&gt;=P$4),IF(OR($C60="Milestone",$C60="Gate"),"◆","■"),"")</x:f>
      </x:c>
      <x:c r="Q60" s="38" t="str">
        <x:f t="shared" si="56">IF(AND($I60&lt;=Q$4+6,$J60&gt;=Q$4),IF(OR($C60="Milestone",$C60="Gate"),"◆","■"),"")</x:f>
      </x:c>
      <x:c r="R60" s="38" t="str">
        <x:f t="shared" si="56">IF(AND($I60&lt;=R$4+6,$J60&gt;=R$4),IF(OR($C60="Milestone",$C60="Gate"),"◆","■"),"")</x:f>
      </x:c>
      <x:c r="S60" s="38" t="str">
        <x:f t="shared" si="56">IF(AND($I60&lt;=S$4+6,$J60&gt;=S$4),IF(OR($C60="Milestone",$C60="Gate"),"◆","■"),"")</x:f>
      </x:c>
      <x:c r="T60" s="38" t="str">
        <x:f t="shared" si="56">IF(AND($I60&lt;=T$4+6,$J60&gt;=T$4),IF(OR($C60="Milestone",$C60="Gate"),"◆","■"),"")</x:f>
      </x:c>
      <x:c r="U60" s="38" t="str">
        <x:f t="shared" si="56">IF(AND($I60&lt;=U$4+6,$J60&gt;=U$4),IF(OR($C60="Milestone",$C60="Gate"),"◆","■"),"")</x:f>
      </x:c>
      <x:c r="V60" s="38" t="str">
        <x:f t="shared" si="56">IF(AND($I60&lt;=V$4+6,$J60&gt;=V$4),IF(OR($C60="Milestone",$C60="Gate"),"◆","■"),"")</x:f>
      </x:c>
      <x:c r="W60" s="38" t="str">
        <x:f t="shared" si="56">IF(AND($I60&lt;=W$4+6,$J60&gt;=W$4),IF(OR($C60="Milestone",$C60="Gate"),"◆","■"),"")</x:f>
        <x:v>■</x:v>
      </x:c>
      <x:c r="X60" s="38" t="str">
        <x:f t="shared" si="56">IF(AND($I60&lt;=X$4+6,$J60&gt;=X$4),IF(OR($C60="Milestone",$C60="Gate"),"◆","■"),"")</x:f>
      </x:c>
      <x:c r="Y60" s="38" t="str">
        <x:f t="shared" si="56">IF(AND($I60&lt;=Y$4+6,$J60&gt;=Y$4),IF(OR($C60="Milestone",$C60="Gate"),"◆","■"),"")</x:f>
      </x:c>
      <x:c r="Z60" s="38" t="str">
        <x:f t="shared" si="56">IF(AND($I60&lt;=Z$4+6,$J60&gt;=Z$4),IF(OR($C60="Milestone",$C60="Gate"),"◆","■"),"")</x:f>
      </x:c>
      <x:c r="AA60" s="38" t="str">
        <x:f t="shared" si="56">IF(AND($I60&lt;=AA$4+6,$J60&gt;=AA$4),IF(OR($C60="Milestone",$C60="Gate"),"◆","■"),"")</x:f>
      </x:c>
      <x:c r="AB60" s="38" t="str">
        <x:f t="shared" si="56">IF(AND($I60&lt;=AB$4+6,$J60&gt;=AB$4),IF(OR($C60="Milestone",$C60="Gate"),"◆","■"),"")</x:f>
      </x:c>
      <x:c r="AC60" s="38" t="str">
        <x:f t="shared" si="56">IF(AND($I60&lt;=AC$4+6,$J60&gt;=AC$4),IF(OR($C60="Milestone",$C60="Gate"),"◆","■"),"")</x:f>
      </x:c>
    </x:row>
    <x:row r="61" ht="34" customHeight="1">
      <x:c r="A61" s="24" t="str">
        <x:v>VB02</x:v>
      </x:c>
      <x:c r="B61" s="24" t="str">
        <x:v>Extension: Vendors + Bookings</x:v>
      </x:c>
      <x:c r="C61" s="24" t="str">
        <x:v>Task</x:v>
      </x:c>
      <x:c r="D61" s="24" t="str">
        <x:v>Booking backend</x:v>
      </x:c>
      <x:c r="E61" s="24" t="str">
        <x:v>Implement organisations, offerings and reservation-request services</x:v>
      </x:c>
      <x:c r="F61" s="24" t="str">
        <x:v>Syed Muhtasim Alam</x:v>
      </x:c>
      <x:c r="G61" s="24" t="str">
        <x:v>Shahriar</x:v>
      </x:c>
      <x:c r="H61" s="25" t="n">
        <x:v>6</x:v>
      </x:c>
      <x:c r="I61" s="26" t="n">
        <x:v>46369</x:v>
      </x:c>
      <x:c r="J61" s="26" t="n">
        <x:v>46376</x:v>
      </x:c>
      <x:c r="K61" s="24" t="str">
        <x:v>VB01,E06</x:v>
      </x:c>
      <x:c r="L61" s="24" t="str">
        <x:v>Not started</x:v>
      </x:c>
      <x:c r="M61" s="24" t="str">
        <x:v>Authorization, status and idempotency tests pass</x:v>
      </x:c>
      <x:c r="N61" s="24" t="str">
        <x:v>Reservation is a tracked request, not guaranteed inventory</x:v>
      </x:c>
      <x:c r="O61" s="37" t="str">
        <x:f t="shared" ref="O61:AC61" si="57">IF(AND($I61&lt;=O$4+6,$J61&gt;=O$4),IF(OR($C61="Milestone",$C61="Gate"),"◆","■"),"")</x:f>
      </x:c>
      <x:c r="P61" s="37" t="str">
        <x:f t="shared" si="57">IF(AND($I61&lt;=P$4+6,$J61&gt;=P$4),IF(OR($C61="Milestone",$C61="Gate"),"◆","■"),"")</x:f>
      </x:c>
      <x:c r="Q61" s="37" t="str">
        <x:f t="shared" si="57">IF(AND($I61&lt;=Q$4+6,$J61&gt;=Q$4),IF(OR($C61="Milestone",$C61="Gate"),"◆","■"),"")</x:f>
      </x:c>
      <x:c r="R61" s="37" t="str">
        <x:f t="shared" si="57">IF(AND($I61&lt;=R$4+6,$J61&gt;=R$4),IF(OR($C61="Milestone",$C61="Gate"),"◆","■"),"")</x:f>
      </x:c>
      <x:c r="S61" s="37" t="str">
        <x:f t="shared" si="57">IF(AND($I61&lt;=S$4+6,$J61&gt;=S$4),IF(OR($C61="Milestone",$C61="Gate"),"◆","■"),"")</x:f>
      </x:c>
      <x:c r="T61" s="37" t="str">
        <x:f t="shared" si="57">IF(AND($I61&lt;=T$4+6,$J61&gt;=T$4),IF(OR($C61="Milestone",$C61="Gate"),"◆","■"),"")</x:f>
      </x:c>
      <x:c r="U61" s="37" t="str">
        <x:f t="shared" si="57">IF(AND($I61&lt;=U$4+6,$J61&gt;=U$4),IF(OR($C61="Milestone",$C61="Gate"),"◆","■"),"")</x:f>
      </x:c>
      <x:c r="V61" s="37" t="str">
        <x:f t="shared" si="57">IF(AND($I61&lt;=V$4+6,$J61&gt;=V$4),IF(OR($C61="Milestone",$C61="Gate"),"◆","■"),"")</x:f>
      </x:c>
      <x:c r="W61" s="37" t="str">
        <x:f t="shared" si="57">IF(AND($I61&lt;=W$4+6,$J61&gt;=W$4),IF(OR($C61="Milestone",$C61="Gate"),"◆","■"),"")</x:f>
        <x:v>■</x:v>
      </x:c>
      <x:c r="X61" s="37" t="str">
        <x:f t="shared" si="57">IF(AND($I61&lt;=X$4+6,$J61&gt;=X$4),IF(OR($C61="Milestone",$C61="Gate"),"◆","■"),"")</x:f>
        <x:v>■</x:v>
      </x:c>
      <x:c r="Y61" s="37" t="str">
        <x:f t="shared" si="57">IF(AND($I61&lt;=Y$4+6,$J61&gt;=Y$4),IF(OR($C61="Milestone",$C61="Gate"),"◆","■"),"")</x:f>
      </x:c>
      <x:c r="Z61" s="37" t="str">
        <x:f t="shared" si="57">IF(AND($I61&lt;=Z$4+6,$J61&gt;=Z$4),IF(OR($C61="Milestone",$C61="Gate"),"◆","■"),"")</x:f>
      </x:c>
      <x:c r="AA61" s="37" t="str">
        <x:f t="shared" si="57">IF(AND($I61&lt;=AA$4+6,$J61&gt;=AA$4),IF(OR($C61="Milestone",$C61="Gate"),"◆","■"),"")</x:f>
      </x:c>
      <x:c r="AB61" s="37" t="str">
        <x:f t="shared" si="57">IF(AND($I61&lt;=AB$4+6,$J61&gt;=AB$4),IF(OR($C61="Milestone",$C61="Gate"),"◆","■"),"")</x:f>
      </x:c>
      <x:c r="AC61" s="37" t="str">
        <x:f t="shared" si="57">IF(AND($I61&lt;=AC$4+6,$J61&gt;=AC$4),IF(OR($C61="Milestone",$C61="Gate"),"◆","■"),"")</x:f>
      </x:c>
    </x:row>
    <x:row r="62" ht="34" customHeight="1">
      <x:c r="A62" s="24" t="str">
        <x:v>VB03</x:v>
      </x:c>
      <x:c r="B62" s="24" t="str">
        <x:v>Extension: Vendors + Bookings</x:v>
      </x:c>
      <x:c r="C62" s="24" t="str">
        <x:v>Task</x:v>
      </x:c>
      <x:c r="D62" s="24" t="str">
        <x:v>Booking frontend</x:v>
      </x:c>
      <x:c r="E62" s="24" t="str">
        <x:v>Build vendor listing and reservation-request interface</x:v>
      </x:c>
      <x:c r="F62" s="24" t="str">
        <x:v>Abdullah Bin Sorwar Choudhury</x:v>
      </x:c>
      <x:c r="G62" s="24" t="str">
        <x:v>Muhtasim</x:v>
      </x:c>
      <x:c r="H62" s="25" t="n">
        <x:v>6</x:v>
      </x:c>
      <x:c r="I62" s="26" t="n">
        <x:v>46377</x:v>
      </x:c>
      <x:c r="J62" s="26" t="n">
        <x:v>46381</x:v>
      </x:c>
      <x:c r="K62" s="24" t="str">
        <x:v>VB02</x:v>
      </x:c>
      <x:c r="L62" s="24" t="str">
        <x:v>Not started</x:v>
      </x:c>
      <x:c r="M62" s="24" t="str">
        <x:v>Customer and vendor status flows work end to end</x:v>
      </x:c>
      <x:c r="N62" s="24" t="str">
        <x:v>Display confirmation boundaries clearly</x:v>
      </x:c>
      <x:c r="O62" s="38" t="str">
        <x:f t="shared" ref="O62:AC62" si="58">IF(AND($I62&lt;=O$4+6,$J62&gt;=O$4),IF(OR($C62="Milestone",$C62="Gate"),"◆","■"),"")</x:f>
      </x:c>
      <x:c r="P62" s="38" t="str">
        <x:f t="shared" si="58">IF(AND($I62&lt;=P$4+6,$J62&gt;=P$4),IF(OR($C62="Milestone",$C62="Gate"),"◆","■"),"")</x:f>
      </x:c>
      <x:c r="Q62" s="38" t="str">
        <x:f t="shared" si="58">IF(AND($I62&lt;=Q$4+6,$J62&gt;=Q$4),IF(OR($C62="Milestone",$C62="Gate"),"◆","■"),"")</x:f>
      </x:c>
      <x:c r="R62" s="38" t="str">
        <x:f t="shared" si="58">IF(AND($I62&lt;=R$4+6,$J62&gt;=R$4),IF(OR($C62="Milestone",$C62="Gate"),"◆","■"),"")</x:f>
      </x:c>
      <x:c r="S62" s="38" t="str">
        <x:f t="shared" si="58">IF(AND($I62&lt;=S$4+6,$J62&gt;=S$4),IF(OR($C62="Milestone",$C62="Gate"),"◆","■"),"")</x:f>
      </x:c>
      <x:c r="T62" s="38" t="str">
        <x:f t="shared" si="58">IF(AND($I62&lt;=T$4+6,$J62&gt;=T$4),IF(OR($C62="Milestone",$C62="Gate"),"◆","■"),"")</x:f>
      </x:c>
      <x:c r="U62" s="38" t="str">
        <x:f t="shared" si="58">IF(AND($I62&lt;=U$4+6,$J62&gt;=U$4),IF(OR($C62="Milestone",$C62="Gate"),"◆","■"),"")</x:f>
      </x:c>
      <x:c r="V62" s="38" t="str">
        <x:f t="shared" si="58">IF(AND($I62&lt;=V$4+6,$J62&gt;=V$4),IF(OR($C62="Milestone",$C62="Gate"),"◆","■"),"")</x:f>
      </x:c>
      <x:c r="W62" s="38" t="str">
        <x:f t="shared" si="58">IF(AND($I62&lt;=W$4+6,$J62&gt;=W$4),IF(OR($C62="Milestone",$C62="Gate"),"◆","■"),"")</x:f>
      </x:c>
      <x:c r="X62" s="38" t="str">
        <x:f t="shared" si="58">IF(AND($I62&lt;=X$4+6,$J62&gt;=X$4),IF(OR($C62="Milestone",$C62="Gate"),"◆","■"),"")</x:f>
      </x:c>
      <x:c r="Y62" s="38" t="str">
        <x:f t="shared" si="58">IF(AND($I62&lt;=Y$4+6,$J62&gt;=Y$4),IF(OR($C62="Milestone",$C62="Gate"),"◆","■"),"")</x:f>
        <x:v>■</x:v>
      </x:c>
      <x:c r="Z62" s="38" t="str">
        <x:f t="shared" si="58">IF(AND($I62&lt;=Z$4+6,$J62&gt;=Z$4),IF(OR($C62="Milestone",$C62="Gate"),"◆","■"),"")</x:f>
      </x:c>
      <x:c r="AA62" s="38" t="str">
        <x:f t="shared" si="58">IF(AND($I62&lt;=AA$4+6,$J62&gt;=AA$4),IF(OR($C62="Milestone",$C62="Gate"),"◆","■"),"")</x:f>
      </x:c>
      <x:c r="AB62" s="38" t="str">
        <x:f t="shared" si="58">IF(AND($I62&lt;=AB$4+6,$J62&gt;=AB$4),IF(OR($C62="Milestone",$C62="Gate"),"◆","■"),"")</x:f>
      </x:c>
      <x:c r="AC62" s="38" t="str">
        <x:f t="shared" si="58">IF(AND($I62&lt;=AC$4+6,$J62&gt;=AC$4),IF(OR($C62="Milestone",$C62="Gate"),"◆","■"),"")</x:f>
      </x:c>
    </x:row>
    <x:row r="63" ht="34" customHeight="1">
      <x:c r="A63" s="24" t="str">
        <x:v>VB04</x:v>
      </x:c>
      <x:c r="B63" s="24" t="str">
        <x:v>Extension: Vendors + Bookings</x:v>
      </x:c>
      <x:c r="C63" s="24" t="str">
        <x:v>Task</x:v>
      </x:c>
      <x:c r="D63" s="24" t="str">
        <x:v>Booking QA</x:v>
      </x:c>
      <x:c r="E63" s="24" t="str">
        <x:v>Test authorization, status, cancellation and dispute flows</x:v>
      </x:c>
      <x:c r="F63" s="24" t="str">
        <x:v>Md. Irfan Iqbal</x:v>
      </x:c>
      <x:c r="G63" s="24" t="str">
        <x:v>All</x:v>
      </x:c>
      <x:c r="H63" s="25" t="n">
        <x:v>6</x:v>
      </x:c>
      <x:c r="I63" s="26" t="n">
        <x:v>46382</x:v>
      </x:c>
      <x:c r="J63" s="26" t="n">
        <x:v>46385</x:v>
      </x:c>
      <x:c r="K63" s="24" t="str">
        <x:v>VB02,VB03</x:v>
      </x:c>
      <x:c r="L63" s="24" t="str">
        <x:v>Not started</x:v>
      </x:c>
      <x:c r="M63" s="24" t="str">
        <x:v>Booking-state and negative tests have evidence</x:v>
      </x:c>
      <x:c r="N63" s="24" t="str">
        <x:v>Retry must not duplicate a request</x:v>
      </x:c>
      <x:c r="O63" s="37" t="str">
        <x:f t="shared" ref="O63:AC63" si="59">IF(AND($I63&lt;=O$4+6,$J63&gt;=O$4),IF(OR($C63="Milestone",$C63="Gate"),"◆","■"),"")</x:f>
      </x:c>
      <x:c r="P63" s="37" t="str">
        <x:f t="shared" si="59">IF(AND($I63&lt;=P$4+6,$J63&gt;=P$4),IF(OR($C63="Milestone",$C63="Gate"),"◆","■"),"")</x:f>
      </x:c>
      <x:c r="Q63" s="37" t="str">
        <x:f t="shared" si="59">IF(AND($I63&lt;=Q$4+6,$J63&gt;=Q$4),IF(OR($C63="Milestone",$C63="Gate"),"◆","■"),"")</x:f>
      </x:c>
      <x:c r="R63" s="37" t="str">
        <x:f t="shared" si="59">IF(AND($I63&lt;=R$4+6,$J63&gt;=R$4),IF(OR($C63="Milestone",$C63="Gate"),"◆","■"),"")</x:f>
      </x:c>
      <x:c r="S63" s="37" t="str">
        <x:f t="shared" si="59">IF(AND($I63&lt;=S$4+6,$J63&gt;=S$4),IF(OR($C63="Milestone",$C63="Gate"),"◆","■"),"")</x:f>
      </x:c>
      <x:c r="T63" s="37" t="str">
        <x:f t="shared" si="59">IF(AND($I63&lt;=T$4+6,$J63&gt;=T$4),IF(OR($C63="Milestone",$C63="Gate"),"◆","■"),"")</x:f>
      </x:c>
      <x:c r="U63" s="37" t="str">
        <x:f t="shared" si="59">IF(AND($I63&lt;=U$4+6,$J63&gt;=U$4),IF(OR($C63="Milestone",$C63="Gate"),"◆","■"),"")</x:f>
      </x:c>
      <x:c r="V63" s="37" t="str">
        <x:f t="shared" si="59">IF(AND($I63&lt;=V$4+6,$J63&gt;=V$4),IF(OR($C63="Milestone",$C63="Gate"),"◆","■"),"")</x:f>
      </x:c>
      <x:c r="W63" s="37" t="str">
        <x:f t="shared" si="59">IF(AND($I63&lt;=W$4+6,$J63&gt;=W$4),IF(OR($C63="Milestone",$C63="Gate"),"◆","■"),"")</x:f>
      </x:c>
      <x:c r="X63" s="37" t="str">
        <x:f t="shared" si="59">IF(AND($I63&lt;=X$4+6,$J63&gt;=X$4),IF(OR($C63="Milestone",$C63="Gate"),"◆","■"),"")</x:f>
      </x:c>
      <x:c r="Y63" s="37" t="str">
        <x:f t="shared" si="59">IF(AND($I63&lt;=Y$4+6,$J63&gt;=Y$4),IF(OR($C63="Milestone",$C63="Gate"),"◆","■"),"")</x:f>
        <x:v>■</x:v>
      </x:c>
      <x:c r="Z63" s="37" t="str">
        <x:f t="shared" si="59">IF(AND($I63&lt;=Z$4+6,$J63&gt;=Z$4),IF(OR($C63="Milestone",$C63="Gate"),"◆","■"),"")</x:f>
        <x:v>■</x:v>
      </x:c>
      <x:c r="AA63" s="37" t="str">
        <x:f t="shared" si="59">IF(AND($I63&lt;=AA$4+6,$J63&gt;=AA$4),IF(OR($C63="Milestone",$C63="Gate"),"◆","■"),"")</x:f>
      </x:c>
      <x:c r="AB63" s="37" t="str">
        <x:f t="shared" si="59">IF(AND($I63&lt;=AB$4+6,$J63&gt;=AB$4),IF(OR($C63="Milestone",$C63="Gate"),"◆","■"),"")</x:f>
      </x:c>
      <x:c r="AC63" s="37" t="str">
        <x:f t="shared" si="59">IF(AND($I63&lt;=AC$4+6,$J63&gt;=AC$4),IF(OR($C63="Milestone",$C63="Gate"),"◆","■"),"")</x:f>
      </x:c>
    </x:row>
    <x:row r="64" ht="34" customHeight="1">
      <x:c r="A64" s="24" t="str">
        <x:v>PY01</x:v>
      </x:c>
      <x:c r="B64" s="24" t="str">
        <x:v>Extension: Sandbox Payments</x:v>
      </x:c>
      <x:c r="C64" s="24" t="str">
        <x:v>Task</x:v>
      </x:c>
      <x:c r="D64" s="24" t="str">
        <x:v>Payment governance</x:v>
      </x:c>
      <x:c r="E64" s="24" t="str">
        <x:v>Approve sandbox payment, status, audit and failure rules</x:v>
      </x:c>
      <x:c r="F64" s="24" t="str">
        <x:v>Shahriar Islam</x:v>
      </x:c>
      <x:c r="G64" s="24" t="str">
        <x:v>Muhtasim, Irfan</x:v>
      </x:c>
      <x:c r="H64" s="25" t="n">
        <x:v>6</x:v>
      </x:c>
      <x:c r="I64" s="26" t="n">
        <x:v>46377</x:v>
      </x:c>
      <x:c r="J64" s="26" t="n">
        <x:v>46379</x:v>
      </x:c>
      <x:c r="K64" s="24" t="str">
        <x:v>VB02</x:v>
      </x:c>
      <x:c r="L64" s="24" t="str">
        <x:v>Not started</x:v>
      </x:c>
      <x:c r="M64" s="24" t="str">
        <x:v>Sandbox-only boundaries and states approved</x:v>
      </x:c>
      <x:c r="N64" s="24" t="str">
        <x:v>No real money or production credentials</x:v>
      </x:c>
      <x:c r="O64" s="38" t="str">
        <x:f t="shared" ref="O64:AC64" si="60">IF(AND($I64&lt;=O$4+6,$J64&gt;=O$4),IF(OR($C64="Milestone",$C64="Gate"),"◆","■"),"")</x:f>
      </x:c>
      <x:c r="P64" s="38" t="str">
        <x:f t="shared" si="60">IF(AND($I64&lt;=P$4+6,$J64&gt;=P$4),IF(OR($C64="Milestone",$C64="Gate"),"◆","■"),"")</x:f>
      </x:c>
      <x:c r="Q64" s="38" t="str">
        <x:f t="shared" si="60">IF(AND($I64&lt;=Q$4+6,$J64&gt;=Q$4),IF(OR($C64="Milestone",$C64="Gate"),"◆","■"),"")</x:f>
      </x:c>
      <x:c r="R64" s="38" t="str">
        <x:f t="shared" si="60">IF(AND($I64&lt;=R$4+6,$J64&gt;=R$4),IF(OR($C64="Milestone",$C64="Gate"),"◆","■"),"")</x:f>
      </x:c>
      <x:c r="S64" s="38" t="str">
        <x:f t="shared" si="60">IF(AND($I64&lt;=S$4+6,$J64&gt;=S$4),IF(OR($C64="Milestone",$C64="Gate"),"◆","■"),"")</x:f>
      </x:c>
      <x:c r="T64" s="38" t="str">
        <x:f t="shared" si="60">IF(AND($I64&lt;=T$4+6,$J64&gt;=T$4),IF(OR($C64="Milestone",$C64="Gate"),"◆","■"),"")</x:f>
      </x:c>
      <x:c r="U64" s="38" t="str">
        <x:f t="shared" si="60">IF(AND($I64&lt;=U$4+6,$J64&gt;=U$4),IF(OR($C64="Milestone",$C64="Gate"),"◆","■"),"")</x:f>
      </x:c>
      <x:c r="V64" s="38" t="str">
        <x:f t="shared" si="60">IF(AND($I64&lt;=V$4+6,$J64&gt;=V$4),IF(OR($C64="Milestone",$C64="Gate"),"◆","■"),"")</x:f>
      </x:c>
      <x:c r="W64" s="38" t="str">
        <x:f t="shared" si="60">IF(AND($I64&lt;=W$4+6,$J64&gt;=W$4),IF(OR($C64="Milestone",$C64="Gate"),"◆","■"),"")</x:f>
      </x:c>
      <x:c r="X64" s="38" t="str">
        <x:f t="shared" si="60">IF(AND($I64&lt;=X$4+6,$J64&gt;=X$4),IF(OR($C64="Milestone",$C64="Gate"),"◆","■"),"")</x:f>
      </x:c>
      <x:c r="Y64" s="38" t="str">
        <x:f t="shared" si="60">IF(AND($I64&lt;=Y$4+6,$J64&gt;=Y$4),IF(OR($C64="Milestone",$C64="Gate"),"◆","■"),"")</x:f>
        <x:v>■</x:v>
      </x:c>
      <x:c r="Z64" s="38" t="str">
        <x:f t="shared" si="60">IF(AND($I64&lt;=Z$4+6,$J64&gt;=Z$4),IF(OR($C64="Milestone",$C64="Gate"),"◆","■"),"")</x:f>
      </x:c>
      <x:c r="AA64" s="38" t="str">
        <x:f t="shared" si="60">IF(AND($I64&lt;=AA$4+6,$J64&gt;=AA$4),IF(OR($C64="Milestone",$C64="Gate"),"◆","■"),"")</x:f>
      </x:c>
      <x:c r="AB64" s="38" t="str">
        <x:f t="shared" si="60">IF(AND($I64&lt;=AB$4+6,$J64&gt;=AB$4),IF(OR($C64="Milestone",$C64="Gate"),"◆","■"),"")</x:f>
      </x:c>
      <x:c r="AC64" s="38" t="str">
        <x:f t="shared" si="60">IF(AND($I64&lt;=AC$4+6,$J64&gt;=AC$4),IF(OR($C64="Milestone",$C64="Gate"),"◆","■"),"")</x:f>
      </x:c>
    </x:row>
    <x:row r="65" ht="34" customHeight="1">
      <x:c r="A65" s="24" t="str">
        <x:v>PY02</x:v>
      </x:c>
      <x:c r="B65" s="24" t="str">
        <x:v>Extension: Sandbox Payments</x:v>
      </x:c>
      <x:c r="C65" s="24" t="str">
        <x:v>Task</x:v>
      </x:c>
      <x:c r="D65" s="24" t="str">
        <x:v>Payment backend</x:v>
      </x:c>
      <x:c r="E65" s="24" t="str">
        <x:v>Implement sandbox initiation, callback and reconciliation</x:v>
      </x:c>
      <x:c r="F65" s="24" t="str">
        <x:v>Syed Muhtasim Alam</x:v>
      </x:c>
      <x:c r="G65" s="24" t="str">
        <x:v>Shahriar</x:v>
      </x:c>
      <x:c r="H65" s="25" t="n">
        <x:v>6</x:v>
      </x:c>
      <x:c r="I65" s="26" t="n">
        <x:v>46380</x:v>
      </x:c>
      <x:c r="J65" s="26" t="n">
        <x:v>46385</x:v>
      </x:c>
      <x:c r="K65" s="24" t="str">
        <x:v>PY01,VB02</x:v>
      </x:c>
      <x:c r="L65" s="24" t="str">
        <x:v>Not started</x:v>
      </x:c>
      <x:c r="M65" s="24" t="str">
        <x:v>Signed callback, idempotency and reconciliation tests pass</x:v>
      </x:c>
      <x:c r="N65" s="24" t="str">
        <x:v>Accept provider state only after server verification</x:v>
      </x:c>
      <x:c r="O65" s="37" t="str">
        <x:f t="shared" ref="O65:AC65" si="61">IF(AND($I65&lt;=O$4+6,$J65&gt;=O$4),IF(OR($C65="Milestone",$C65="Gate"),"◆","■"),"")</x:f>
      </x:c>
      <x:c r="P65" s="37" t="str">
        <x:f t="shared" si="61">IF(AND($I65&lt;=P$4+6,$J65&gt;=P$4),IF(OR($C65="Milestone",$C65="Gate"),"◆","■"),"")</x:f>
      </x:c>
      <x:c r="Q65" s="37" t="str">
        <x:f t="shared" si="61">IF(AND($I65&lt;=Q$4+6,$J65&gt;=Q$4),IF(OR($C65="Milestone",$C65="Gate"),"◆","■"),"")</x:f>
      </x:c>
      <x:c r="R65" s="37" t="str">
        <x:f t="shared" si="61">IF(AND($I65&lt;=R$4+6,$J65&gt;=R$4),IF(OR($C65="Milestone",$C65="Gate"),"◆","■"),"")</x:f>
      </x:c>
      <x:c r="S65" s="37" t="str">
        <x:f t="shared" si="61">IF(AND($I65&lt;=S$4+6,$J65&gt;=S$4),IF(OR($C65="Milestone",$C65="Gate"),"◆","■"),"")</x:f>
      </x:c>
      <x:c r="T65" s="37" t="str">
        <x:f t="shared" si="61">IF(AND($I65&lt;=T$4+6,$J65&gt;=T$4),IF(OR($C65="Milestone",$C65="Gate"),"◆","■"),"")</x:f>
      </x:c>
      <x:c r="U65" s="37" t="str">
        <x:f t="shared" si="61">IF(AND($I65&lt;=U$4+6,$J65&gt;=U$4),IF(OR($C65="Milestone",$C65="Gate"),"◆","■"),"")</x:f>
      </x:c>
      <x:c r="V65" s="37" t="str">
        <x:f t="shared" si="61">IF(AND($I65&lt;=V$4+6,$J65&gt;=V$4),IF(OR($C65="Milestone",$C65="Gate"),"◆","■"),"")</x:f>
      </x:c>
      <x:c r="W65" s="37" t="str">
        <x:f t="shared" si="61">IF(AND($I65&lt;=W$4+6,$J65&gt;=W$4),IF(OR($C65="Milestone",$C65="Gate"),"◆","■"),"")</x:f>
      </x:c>
      <x:c r="X65" s="37" t="str">
        <x:f t="shared" si="61">IF(AND($I65&lt;=X$4+6,$J65&gt;=X$4),IF(OR($C65="Milestone",$C65="Gate"),"◆","■"),"")</x:f>
      </x:c>
      <x:c r="Y65" s="37" t="str">
        <x:f t="shared" si="61">IF(AND($I65&lt;=Y$4+6,$J65&gt;=Y$4),IF(OR($C65="Milestone",$C65="Gate"),"◆","■"),"")</x:f>
        <x:v>■</x:v>
      </x:c>
      <x:c r="Z65" s="37" t="str">
        <x:f t="shared" si="61">IF(AND($I65&lt;=Z$4+6,$J65&gt;=Z$4),IF(OR($C65="Milestone",$C65="Gate"),"◆","■"),"")</x:f>
        <x:v>■</x:v>
      </x:c>
      <x:c r="AA65" s="37" t="str">
        <x:f t="shared" si="61">IF(AND($I65&lt;=AA$4+6,$J65&gt;=AA$4),IF(OR($C65="Milestone",$C65="Gate"),"◆","■"),"")</x:f>
      </x:c>
      <x:c r="AB65" s="37" t="str">
        <x:f t="shared" si="61">IF(AND($I65&lt;=AB$4+6,$J65&gt;=AB$4),IF(OR($C65="Milestone",$C65="Gate"),"◆","■"),"")</x:f>
      </x:c>
      <x:c r="AC65" s="37" t="str">
        <x:f t="shared" si="61">IF(AND($I65&lt;=AC$4+6,$J65&gt;=AC$4),IF(OR($C65="Milestone",$C65="Gate"),"◆","■"),"")</x:f>
      </x:c>
    </x:row>
    <x:row r="66" ht="34" customHeight="1">
      <x:c r="A66" s="24" t="str">
        <x:v>PY03</x:v>
      </x:c>
      <x:c r="B66" s="24" t="str">
        <x:v>Extension: Sandbox Payments</x:v>
      </x:c>
      <x:c r="C66" s="24" t="str">
        <x:v>Task</x:v>
      </x:c>
      <x:c r="D66" s="24" t="str">
        <x:v>Payment frontend</x:v>
      </x:c>
      <x:c r="E66" s="24" t="str">
        <x:v>Build sandbox checkout, status and receipt interface</x:v>
      </x:c>
      <x:c r="F66" s="24" t="str">
        <x:v>Abdullah Bin Sorwar Choudhury</x:v>
      </x:c>
      <x:c r="G66" s="24" t="str">
        <x:v>Muhtasim</x:v>
      </x:c>
      <x:c r="H66" s="25" t="n">
        <x:v>6</x:v>
      </x:c>
      <x:c r="I66" s="26" t="n">
        <x:v>46380</x:v>
      </x:c>
      <x:c r="J66" s="26" t="n">
        <x:v>46385</x:v>
      </x:c>
      <x:c r="K66" s="24" t="str">
        <x:v>PY01</x:v>
      </x:c>
      <x:c r="L66" s="24" t="str">
        <x:v>Not started</x:v>
      </x:c>
      <x:c r="M66" s="24" t="str">
        <x:v>Success, failure and pending states are explicit</x:v>
      </x:c>
      <x:c r="N66" s="24" t="str">
        <x:v>Label every payment control as sandbox demonstration</x:v>
      </x:c>
      <x:c r="O66" s="38" t="str">
        <x:f t="shared" ref="O66:AC66" si="62">IF(AND($I66&lt;=O$4+6,$J66&gt;=O$4),IF(OR($C66="Milestone",$C66="Gate"),"◆","■"),"")</x:f>
      </x:c>
      <x:c r="P66" s="38" t="str">
        <x:f t="shared" si="62">IF(AND($I66&lt;=P$4+6,$J66&gt;=P$4),IF(OR($C66="Milestone",$C66="Gate"),"◆","■"),"")</x:f>
      </x:c>
      <x:c r="Q66" s="38" t="str">
        <x:f t="shared" si="62">IF(AND($I66&lt;=Q$4+6,$J66&gt;=Q$4),IF(OR($C66="Milestone",$C66="Gate"),"◆","■"),"")</x:f>
      </x:c>
      <x:c r="R66" s="38" t="str">
        <x:f t="shared" si="62">IF(AND($I66&lt;=R$4+6,$J66&gt;=R$4),IF(OR($C66="Milestone",$C66="Gate"),"◆","■"),"")</x:f>
      </x:c>
      <x:c r="S66" s="38" t="str">
        <x:f t="shared" si="62">IF(AND($I66&lt;=S$4+6,$J66&gt;=S$4),IF(OR($C66="Milestone",$C66="Gate"),"◆","■"),"")</x:f>
      </x:c>
      <x:c r="T66" s="38" t="str">
        <x:f t="shared" si="62">IF(AND($I66&lt;=T$4+6,$J66&gt;=T$4),IF(OR($C66="Milestone",$C66="Gate"),"◆","■"),"")</x:f>
      </x:c>
      <x:c r="U66" s="38" t="str">
        <x:f t="shared" si="62">IF(AND($I66&lt;=U$4+6,$J66&gt;=U$4),IF(OR($C66="Milestone",$C66="Gate"),"◆","■"),"")</x:f>
      </x:c>
      <x:c r="V66" s="38" t="str">
        <x:f t="shared" si="62">IF(AND($I66&lt;=V$4+6,$J66&gt;=V$4),IF(OR($C66="Milestone",$C66="Gate"),"◆","■"),"")</x:f>
      </x:c>
      <x:c r="W66" s="38" t="str">
        <x:f t="shared" si="62">IF(AND($I66&lt;=W$4+6,$J66&gt;=W$4),IF(OR($C66="Milestone",$C66="Gate"),"◆","■"),"")</x:f>
      </x:c>
      <x:c r="X66" s="38" t="str">
        <x:f t="shared" si="62">IF(AND($I66&lt;=X$4+6,$J66&gt;=X$4),IF(OR($C66="Milestone",$C66="Gate"),"◆","■"),"")</x:f>
      </x:c>
      <x:c r="Y66" s="38" t="str">
        <x:f t="shared" si="62">IF(AND($I66&lt;=Y$4+6,$J66&gt;=Y$4),IF(OR($C66="Milestone",$C66="Gate"),"◆","■"),"")</x:f>
        <x:v>■</x:v>
      </x:c>
      <x:c r="Z66" s="38" t="str">
        <x:f t="shared" si="62">IF(AND($I66&lt;=Z$4+6,$J66&gt;=Z$4),IF(OR($C66="Milestone",$C66="Gate"),"◆","■"),"")</x:f>
        <x:v>■</x:v>
      </x:c>
      <x:c r="AA66" s="38" t="str">
        <x:f t="shared" si="62">IF(AND($I66&lt;=AA$4+6,$J66&gt;=AA$4),IF(OR($C66="Milestone",$C66="Gate"),"◆","■"),"")</x:f>
      </x:c>
      <x:c r="AB66" s="38" t="str">
        <x:f t="shared" si="62">IF(AND($I66&lt;=AB$4+6,$J66&gt;=AB$4),IF(OR($C66="Milestone",$C66="Gate"),"◆","■"),"")</x:f>
      </x:c>
      <x:c r="AC66" s="38" t="str">
        <x:f t="shared" si="62">IF(AND($I66&lt;=AC$4+6,$J66&gt;=AC$4),IF(OR($C66="Milestone",$C66="Gate"),"◆","■"),"")</x:f>
      </x:c>
    </x:row>
    <x:row r="67" ht="34" customHeight="1">
      <x:c r="A67" s="24" t="str">
        <x:v>PY04</x:v>
      </x:c>
      <x:c r="B67" s="24" t="str">
        <x:v>Extension: Sandbox Payments</x:v>
      </x:c>
      <x:c r="C67" s="24" t="str">
        <x:v>Task</x:v>
      </x:c>
      <x:c r="D67" s="24" t="str">
        <x:v>Payment QA</x:v>
      </x:c>
      <x:c r="E67" s="24" t="str">
        <x:v>Test success, failure, retry, callback and duplicate handling</x:v>
      </x:c>
      <x:c r="F67" s="24" t="str">
        <x:v>Md. Irfan Iqbal</x:v>
      </x:c>
      <x:c r="G67" s="24" t="str">
        <x:v>All</x:v>
      </x:c>
      <x:c r="H67" s="25" t="n">
        <x:v>6</x:v>
      </x:c>
      <x:c r="I67" s="26" t="n">
        <x:v>46386</x:v>
      </x:c>
      <x:c r="J67" s="26" t="n">
        <x:v>46389</x:v>
      </x:c>
      <x:c r="K67" s="24" t="str">
        <x:v>PY02,PY03</x:v>
      </x:c>
      <x:c r="L67" s="24" t="str">
        <x:v>Not started</x:v>
      </x:c>
      <x:c r="M67" s="24" t="str">
        <x:v>Payment evidence covers all approved sandbox states</x:v>
      </x:c>
      <x:c r="N67" s="24" t="str">
        <x:v>No real-money dependency in release</x:v>
      </x:c>
      <x:c r="O67" s="37" t="str">
        <x:f t="shared" ref="O67:AC67" si="63">IF(AND($I67&lt;=O$4+6,$J67&gt;=O$4),IF(OR($C67="Milestone",$C67="Gate"),"◆","■"),"")</x:f>
      </x:c>
      <x:c r="P67" s="37" t="str">
        <x:f t="shared" si="63">IF(AND($I67&lt;=P$4+6,$J67&gt;=P$4),IF(OR($C67="Milestone",$C67="Gate"),"◆","■"),"")</x:f>
      </x:c>
      <x:c r="Q67" s="37" t="str">
        <x:f t="shared" si="63">IF(AND($I67&lt;=Q$4+6,$J67&gt;=Q$4),IF(OR($C67="Milestone",$C67="Gate"),"◆","■"),"")</x:f>
      </x:c>
      <x:c r="R67" s="37" t="str">
        <x:f t="shared" si="63">IF(AND($I67&lt;=R$4+6,$J67&gt;=R$4),IF(OR($C67="Milestone",$C67="Gate"),"◆","■"),"")</x:f>
      </x:c>
      <x:c r="S67" s="37" t="str">
        <x:f t="shared" si="63">IF(AND($I67&lt;=S$4+6,$J67&gt;=S$4),IF(OR($C67="Milestone",$C67="Gate"),"◆","■"),"")</x:f>
      </x:c>
      <x:c r="T67" s="37" t="str">
        <x:f t="shared" si="63">IF(AND($I67&lt;=T$4+6,$J67&gt;=T$4),IF(OR($C67="Milestone",$C67="Gate"),"◆","■"),"")</x:f>
      </x:c>
      <x:c r="U67" s="37" t="str">
        <x:f t="shared" si="63">IF(AND($I67&lt;=U$4+6,$J67&gt;=U$4),IF(OR($C67="Milestone",$C67="Gate"),"◆","■"),"")</x:f>
      </x:c>
      <x:c r="V67" s="37" t="str">
        <x:f t="shared" si="63">IF(AND($I67&lt;=V$4+6,$J67&gt;=V$4),IF(OR($C67="Milestone",$C67="Gate"),"◆","■"),"")</x:f>
      </x:c>
      <x:c r="W67" s="37" t="str">
        <x:f t="shared" si="63">IF(AND($I67&lt;=W$4+6,$J67&gt;=W$4),IF(OR($C67="Milestone",$C67="Gate"),"◆","■"),"")</x:f>
      </x:c>
      <x:c r="X67" s="37" t="str">
        <x:f t="shared" si="63">IF(AND($I67&lt;=X$4+6,$J67&gt;=X$4),IF(OR($C67="Milestone",$C67="Gate"),"◆","■"),"")</x:f>
      </x:c>
      <x:c r="Y67" s="37" t="str">
        <x:f t="shared" si="63">IF(AND($I67&lt;=Y$4+6,$J67&gt;=Y$4),IF(OR($C67="Milestone",$C67="Gate"),"◆","■"),"")</x:f>
      </x:c>
      <x:c r="Z67" s="37" t="str">
        <x:f t="shared" si="63">IF(AND($I67&lt;=Z$4+6,$J67&gt;=Z$4),IF(OR($C67="Milestone",$C67="Gate"),"◆","■"),"")</x:f>
        <x:v>■</x:v>
      </x:c>
      <x:c r="AA67" s="37" t="str">
        <x:f t="shared" si="63">IF(AND($I67&lt;=AA$4+6,$J67&gt;=AA$4),IF(OR($C67="Milestone",$C67="Gate"),"◆","■"),"")</x:f>
      </x:c>
      <x:c r="AB67" s="37" t="str">
        <x:f t="shared" si="63">IF(AND($I67&lt;=AB$4+6,$J67&gt;=AB$4),IF(OR($C67="Milestone",$C67="Gate"),"◆","■"),"")</x:f>
      </x:c>
      <x:c r="AC67" s="37" t="str">
        <x:f t="shared" si="63">IF(AND($I67&lt;=AC$4+6,$J67&gt;=AC$4),IF(OR($C67="Milestone",$C67="Gate"),"◆","■"),"")</x:f>
      </x:c>
    </x:row>
    <x:row r="68" ht="34" customHeight="1">
      <x:c r="A68" s="24" t="str">
        <x:v>H01</x:v>
      </x:c>
      <x:c r="B68" s="24" t="str">
        <x:v>Hardening</x:v>
      </x:c>
      <x:c r="C68" s="24" t="str">
        <x:v>Task</x:v>
      </x:c>
      <x:c r="D68" s="24" t="str">
        <x:v>Content</x:v>
      </x:c>
      <x:c r="E68" s="24" t="str">
        <x:v>Add and quality-check remaining MVP destinations</x:v>
      </x:c>
      <x:c r="F68" s="24" t="str">
        <x:v>Shahriar Islam</x:v>
      </x:c>
      <x:c r="G68" s="24" t="str">
        <x:v>All</x:v>
      </x:c>
      <x:c r="H68" s="25" t="n">
        <x:v>6</x:v>
      </x:c>
      <x:c r="I68" s="26" t="n">
        <x:v>46364</x:v>
      </x:c>
      <x:c r="J68" s="26" t="n">
        <x:v>46376</x:v>
      </x:c>
      <x:c r="K68" s="24" t="str">
        <x:v>M2</x:v>
      </x:c>
      <x:c r="L68" s="24" t="str">
        <x:v>Not started</x:v>
      </x:c>
      <x:c r="M68" s="24" t="str">
        <x:v>Each destination meets source/date/licence rules</x:v>
      </x:c>
      <x:c r="N68" s="24" t="str">
        <x:v>Quantity may be cut before quality</x:v>
      </x:c>
      <x:c r="O68" s="38" t="str">
        <x:f t="shared" ref="O68:AC68" si="64">IF(AND($I68&lt;=O$4+6,$J68&gt;=O$4),IF(OR($C68="Milestone",$C68="Gate"),"◆","■"),"")</x:f>
      </x:c>
      <x:c r="P68" s="38" t="str">
        <x:f t="shared" si="64">IF(AND($I68&lt;=P$4+6,$J68&gt;=P$4),IF(OR($C68="Milestone",$C68="Gate"),"◆","■"),"")</x:f>
      </x:c>
      <x:c r="Q68" s="38" t="str">
        <x:f t="shared" si="64">IF(AND($I68&lt;=Q$4+6,$J68&gt;=Q$4),IF(OR($C68="Milestone",$C68="Gate"),"◆","■"),"")</x:f>
      </x:c>
      <x:c r="R68" s="38" t="str">
        <x:f t="shared" si="64">IF(AND($I68&lt;=R$4+6,$J68&gt;=R$4),IF(OR($C68="Milestone",$C68="Gate"),"◆","■"),"")</x:f>
      </x:c>
      <x:c r="S68" s="38" t="str">
        <x:f t="shared" si="64">IF(AND($I68&lt;=S$4+6,$J68&gt;=S$4),IF(OR($C68="Milestone",$C68="Gate"),"◆","■"),"")</x:f>
      </x:c>
      <x:c r="T68" s="38" t="str">
        <x:f t="shared" si="64">IF(AND($I68&lt;=T$4+6,$J68&gt;=T$4),IF(OR($C68="Milestone",$C68="Gate"),"◆","■"),"")</x:f>
      </x:c>
      <x:c r="U68" s="38" t="str">
        <x:f t="shared" si="64">IF(AND($I68&lt;=U$4+6,$J68&gt;=U$4),IF(OR($C68="Milestone",$C68="Gate"),"◆","■"),"")</x:f>
      </x:c>
      <x:c r="V68" s="38" t="str">
        <x:f t="shared" si="64">IF(AND($I68&lt;=V$4+6,$J68&gt;=V$4),IF(OR($C68="Milestone",$C68="Gate"),"◆","■"),"")</x:f>
      </x:c>
      <x:c r="W68" s="38" t="str">
        <x:f t="shared" si="64">IF(AND($I68&lt;=W$4+6,$J68&gt;=W$4),IF(OR($C68="Milestone",$C68="Gate"),"◆","■"),"")</x:f>
        <x:v>■</x:v>
      </x:c>
      <x:c r="X68" s="38" t="str">
        <x:f t="shared" si="64">IF(AND($I68&lt;=X$4+6,$J68&gt;=X$4),IF(OR($C68="Milestone",$C68="Gate"),"◆","■"),"")</x:f>
        <x:v>■</x:v>
      </x:c>
      <x:c r="Y68" s="38" t="str">
        <x:f t="shared" si="64">IF(AND($I68&lt;=Y$4+6,$J68&gt;=Y$4),IF(OR($C68="Milestone",$C68="Gate"),"◆","■"),"")</x:f>
      </x:c>
      <x:c r="Z68" s="38" t="str">
        <x:f t="shared" si="64">IF(AND($I68&lt;=Z$4+6,$J68&gt;=Z$4),IF(OR($C68="Milestone",$C68="Gate"),"◆","■"),"")</x:f>
      </x:c>
      <x:c r="AA68" s="38" t="str">
        <x:f t="shared" si="64">IF(AND($I68&lt;=AA$4+6,$J68&gt;=AA$4),IF(OR($C68="Milestone",$C68="Gate"),"◆","■"),"")</x:f>
      </x:c>
      <x:c r="AB68" s="38" t="str">
        <x:f t="shared" si="64">IF(AND($I68&lt;=AB$4+6,$J68&gt;=AB$4),IF(OR($C68="Milestone",$C68="Gate"),"◆","■"),"")</x:f>
      </x:c>
      <x:c r="AC68" s="38" t="str">
        <x:f t="shared" si="64">IF(AND($I68&lt;=AC$4+6,$J68&gt;=AC$4),IF(OR($C68="Milestone",$C68="Gate"),"◆","■"),"")</x:f>
      </x:c>
    </x:row>
    <x:row r="69" ht="34" customHeight="1">
      <x:c r="A69" s="24" t="str">
        <x:v>H02</x:v>
      </x:c>
      <x:c r="B69" s="24" t="str">
        <x:v>Hardening</x:v>
      </x:c>
      <x:c r="C69" s="24" t="str">
        <x:v>Task</x:v>
      </x:c>
      <x:c r="D69" s="24" t="str">
        <x:v>Review UX</x:v>
      </x:c>
      <x:c r="E69" s="24" t="str">
        <x:v>Improve review transparency, filtering and rating explanation</x:v>
      </x:c>
      <x:c r="F69" s="24" t="str">
        <x:v>Abdullah Bin Sorwar Choudhury</x:v>
      </x:c>
      <x:c r="G69" s="24" t="str">
        <x:v>Shahriar</x:v>
      </x:c>
      <x:c r="H69" s="25" t="n">
        <x:v>5</x:v>
      </x:c>
      <x:c r="I69" s="26" t="n">
        <x:v>46364</x:v>
      </x:c>
      <x:c r="J69" s="26" t="n">
        <x:v>46374</x:v>
      </x:c>
      <x:c r="K69" s="24" t="str">
        <x:v>M2</x:v>
      </x:c>
      <x:c r="L69" s="24" t="str">
        <x:v>Not started</x:v>
      </x:c>
      <x:c r="M69" s="24" t="str">
        <x:v>Counts, context and moderation state are clear</x:v>
      </x:c>
      <x:c r="N69" s="24" t="str">
        <x:v>No sponsorship effect on rating</x:v>
      </x:c>
      <x:c r="O69" s="37" t="str">
        <x:f t="shared" ref="O69:AC69" si="65">IF(AND($I69&lt;=O$4+6,$J69&gt;=O$4),IF(OR($C69="Milestone",$C69="Gate"),"◆","■"),"")</x:f>
      </x:c>
      <x:c r="P69" s="37" t="str">
        <x:f t="shared" si="65">IF(AND($I69&lt;=P$4+6,$J69&gt;=P$4),IF(OR($C69="Milestone",$C69="Gate"),"◆","■"),"")</x:f>
      </x:c>
      <x:c r="Q69" s="37" t="str">
        <x:f t="shared" si="65">IF(AND($I69&lt;=Q$4+6,$J69&gt;=Q$4),IF(OR($C69="Milestone",$C69="Gate"),"◆","■"),"")</x:f>
      </x:c>
      <x:c r="R69" s="37" t="str">
        <x:f t="shared" si="65">IF(AND($I69&lt;=R$4+6,$J69&gt;=R$4),IF(OR($C69="Milestone",$C69="Gate"),"◆","■"),"")</x:f>
      </x:c>
      <x:c r="S69" s="37" t="str">
        <x:f t="shared" si="65">IF(AND($I69&lt;=S$4+6,$J69&gt;=S$4),IF(OR($C69="Milestone",$C69="Gate"),"◆","■"),"")</x:f>
      </x:c>
      <x:c r="T69" s="37" t="str">
        <x:f t="shared" si="65">IF(AND($I69&lt;=T$4+6,$J69&gt;=T$4),IF(OR($C69="Milestone",$C69="Gate"),"◆","■"),"")</x:f>
      </x:c>
      <x:c r="U69" s="37" t="str">
        <x:f t="shared" si="65">IF(AND($I69&lt;=U$4+6,$J69&gt;=U$4),IF(OR($C69="Milestone",$C69="Gate"),"◆","■"),"")</x:f>
      </x:c>
      <x:c r="V69" s="37" t="str">
        <x:f t="shared" si="65">IF(AND($I69&lt;=V$4+6,$J69&gt;=V$4),IF(OR($C69="Milestone",$C69="Gate"),"◆","■"),"")</x:f>
      </x:c>
      <x:c r="W69" s="37" t="str">
        <x:f t="shared" si="65">IF(AND($I69&lt;=W$4+6,$J69&gt;=W$4),IF(OR($C69="Milestone",$C69="Gate"),"◆","■"),"")</x:f>
        <x:v>■</x:v>
      </x:c>
      <x:c r="X69" s="37" t="str">
        <x:f t="shared" si="65">IF(AND($I69&lt;=X$4+6,$J69&gt;=X$4),IF(OR($C69="Milestone",$C69="Gate"),"◆","■"),"")</x:f>
        <x:v>■</x:v>
      </x:c>
      <x:c r="Y69" s="37" t="str">
        <x:f t="shared" si="65">IF(AND($I69&lt;=Y$4+6,$J69&gt;=Y$4),IF(OR($C69="Milestone",$C69="Gate"),"◆","■"),"")</x:f>
      </x:c>
      <x:c r="Z69" s="37" t="str">
        <x:f t="shared" si="65">IF(AND($I69&lt;=Z$4+6,$J69&gt;=Z$4),IF(OR($C69="Milestone",$C69="Gate"),"◆","■"),"")</x:f>
      </x:c>
      <x:c r="AA69" s="37" t="str">
        <x:f t="shared" si="65">IF(AND($I69&lt;=AA$4+6,$J69&gt;=AA$4),IF(OR($C69="Milestone",$C69="Gate"),"◆","■"),"")</x:f>
      </x:c>
      <x:c r="AB69" s="37" t="str">
        <x:f t="shared" si="65">IF(AND($I69&lt;=AB$4+6,$J69&gt;=AB$4),IF(OR($C69="Milestone",$C69="Gate"),"◆","■"),"")</x:f>
      </x:c>
      <x:c r="AC69" s="37" t="str">
        <x:f t="shared" si="65">IF(AND($I69&lt;=AC$4+6,$J69&gt;=AC$4),IF(OR($C69="Milestone",$C69="Gate"),"◆","■"),"")</x:f>
      </x:c>
    </x:row>
    <x:row r="70" ht="34" customHeight="1">
      <x:c r="A70" s="24" t="str">
        <x:v>H03</x:v>
      </x:c>
      <x:c r="B70" s="24" t="str">
        <x:v>Hardening</x:v>
      </x:c>
      <x:c r="C70" s="24" t="str">
        <x:v>Task</x:v>
      </x:c>
      <x:c r="D70" s="24" t="str">
        <x:v>Offline reliability</x:v>
      </x:c>
      <x:c r="E70" s="24" t="str">
        <x:v>Harden cache versioning, invalidation and storage recovery</x:v>
      </x:c>
      <x:c r="F70" s="24" t="str">
        <x:v>Abdullah Bin Sorwar Choudhury</x:v>
      </x:c>
      <x:c r="G70" s="24" t="str">
        <x:v>Muhtasim, Irfan</x:v>
      </x:c>
      <x:c r="H70" s="25" t="n">
        <x:v>6</x:v>
      </x:c>
      <x:c r="I70" s="26" t="n">
        <x:v>46364</x:v>
      </x:c>
      <x:c r="J70" s="26" t="n">
        <x:v>46380</x:v>
      </x:c>
      <x:c r="K70" s="24" t="str">
        <x:v>M2</x:v>
      </x:c>
      <x:c r="L70" s="24" t="str">
        <x:v>Not started</x:v>
      </x:c>
      <x:c r="M70" s="24" t="str">
        <x:v>Old packs refresh safely; refusal/eviction handled</x:v>
      </x:c>
      <x:c r="N70" s="24" t="str">
        <x:v>Test on real Android</x:v>
      </x:c>
      <x:c r="O70" s="38" t="str">
        <x:f t="shared" ref="O70:AC70" si="66">IF(AND($I70&lt;=O$4+6,$J70&gt;=O$4),IF(OR($C70="Milestone",$C70="Gate"),"◆","■"),"")</x:f>
      </x:c>
      <x:c r="P70" s="38" t="str">
        <x:f t="shared" si="66">IF(AND($I70&lt;=P$4+6,$J70&gt;=P$4),IF(OR($C70="Milestone",$C70="Gate"),"◆","■"),"")</x:f>
      </x:c>
      <x:c r="Q70" s="38" t="str">
        <x:f t="shared" si="66">IF(AND($I70&lt;=Q$4+6,$J70&gt;=Q$4),IF(OR($C70="Milestone",$C70="Gate"),"◆","■"),"")</x:f>
      </x:c>
      <x:c r="R70" s="38" t="str">
        <x:f t="shared" si="66">IF(AND($I70&lt;=R$4+6,$J70&gt;=R$4),IF(OR($C70="Milestone",$C70="Gate"),"◆","■"),"")</x:f>
      </x:c>
      <x:c r="S70" s="38" t="str">
        <x:f t="shared" si="66">IF(AND($I70&lt;=S$4+6,$J70&gt;=S$4),IF(OR($C70="Milestone",$C70="Gate"),"◆","■"),"")</x:f>
      </x:c>
      <x:c r="T70" s="38" t="str">
        <x:f t="shared" si="66">IF(AND($I70&lt;=T$4+6,$J70&gt;=T$4),IF(OR($C70="Milestone",$C70="Gate"),"◆","■"),"")</x:f>
      </x:c>
      <x:c r="U70" s="38" t="str">
        <x:f t="shared" si="66">IF(AND($I70&lt;=U$4+6,$J70&gt;=U$4),IF(OR($C70="Milestone",$C70="Gate"),"◆","■"),"")</x:f>
      </x:c>
      <x:c r="V70" s="38" t="str">
        <x:f t="shared" si="66">IF(AND($I70&lt;=V$4+6,$J70&gt;=V$4),IF(OR($C70="Milestone",$C70="Gate"),"◆","■"),"")</x:f>
      </x:c>
      <x:c r="W70" s="38" t="str">
        <x:f t="shared" si="66">IF(AND($I70&lt;=W$4+6,$J70&gt;=W$4),IF(OR($C70="Milestone",$C70="Gate"),"◆","■"),"")</x:f>
        <x:v>■</x:v>
      </x:c>
      <x:c r="X70" s="38" t="str">
        <x:f t="shared" si="66">IF(AND($I70&lt;=X$4+6,$J70&gt;=X$4),IF(OR($C70="Milestone",$C70="Gate"),"◆","■"),"")</x:f>
        <x:v>■</x:v>
      </x:c>
      <x:c r="Y70" s="38" t="str">
        <x:f t="shared" si="66">IF(AND($I70&lt;=Y$4+6,$J70&gt;=Y$4),IF(OR($C70="Milestone",$C70="Gate"),"◆","■"),"")</x:f>
        <x:v>■</x:v>
      </x:c>
      <x:c r="Z70" s="38" t="str">
        <x:f t="shared" si="66">IF(AND($I70&lt;=Z$4+6,$J70&gt;=Z$4),IF(OR($C70="Milestone",$C70="Gate"),"◆","■"),"")</x:f>
      </x:c>
      <x:c r="AA70" s="38" t="str">
        <x:f t="shared" si="66">IF(AND($I70&lt;=AA$4+6,$J70&gt;=AA$4),IF(OR($C70="Milestone",$C70="Gate"),"◆","■"),"")</x:f>
      </x:c>
      <x:c r="AB70" s="38" t="str">
        <x:f t="shared" si="66">IF(AND($I70&lt;=AB$4+6,$J70&gt;=AB$4),IF(OR($C70="Milestone",$C70="Gate"),"◆","■"),"")</x:f>
      </x:c>
      <x:c r="AC70" s="38" t="str">
        <x:f t="shared" si="66">IF(AND($I70&lt;=AC$4+6,$J70&gt;=AC$4),IF(OR($C70="Milestone",$C70="Gate"),"◆","■"),"")</x:f>
      </x:c>
    </x:row>
    <x:row r="71" ht="34" customHeight="1">
      <x:c r="A71" s="24" t="str">
        <x:v>H04</x:v>
      </x:c>
      <x:c r="B71" s="24" t="str">
        <x:v>Hardening</x:v>
      </x:c>
      <x:c r="C71" s="24" t="str">
        <x:v>Task</x:v>
      </x:c>
      <x:c r="D71" s="24" t="str">
        <x:v>Backend reliability</x:v>
      </x:c>
      <x:c r="E71" s="24" t="str">
        <x:v>Add pagination, structured errors, logging and retry safety</x:v>
      </x:c>
      <x:c r="F71" s="24" t="str">
        <x:v>Syed Muhtasim Alam</x:v>
      </x:c>
      <x:c r="G71" s="24" t="str">
        <x:v>Irfan</x:v>
      </x:c>
      <x:c r="H71" s="25" t="n">
        <x:v>6</x:v>
      </x:c>
      <x:c r="I71" s="26" t="n">
        <x:v>46364</x:v>
      </x:c>
      <x:c r="J71" s="26" t="n">
        <x:v>46378</x:v>
      </x:c>
      <x:c r="K71" s="24" t="str">
        <x:v>M2</x:v>
      </x:c>
      <x:c r="L71" s="24" t="str">
        <x:v>Not started</x:v>
      </x:c>
      <x:c r="M71" s="24" t="str">
        <x:v>Load/error/idempotency tests pass</x:v>
      </x:c>
      <x:c r="N71" s="24" t="str">
        <x:v>No sensitive data in logs</x:v>
      </x:c>
      <x:c r="O71" s="37" t="str">
        <x:f t="shared" ref="O71:AC71" si="67">IF(AND($I71&lt;=O$4+6,$J71&gt;=O$4),IF(OR($C71="Milestone",$C71="Gate"),"◆","■"),"")</x:f>
      </x:c>
      <x:c r="P71" s="37" t="str">
        <x:f t="shared" si="67">IF(AND($I71&lt;=P$4+6,$J71&gt;=P$4),IF(OR($C71="Milestone",$C71="Gate"),"◆","■"),"")</x:f>
      </x:c>
      <x:c r="Q71" s="37" t="str">
        <x:f t="shared" si="67">IF(AND($I71&lt;=Q$4+6,$J71&gt;=Q$4),IF(OR($C71="Milestone",$C71="Gate"),"◆","■"),"")</x:f>
      </x:c>
      <x:c r="R71" s="37" t="str">
        <x:f t="shared" si="67">IF(AND($I71&lt;=R$4+6,$J71&gt;=R$4),IF(OR($C71="Milestone",$C71="Gate"),"◆","■"),"")</x:f>
      </x:c>
      <x:c r="S71" s="37" t="str">
        <x:f t="shared" si="67">IF(AND($I71&lt;=S$4+6,$J71&gt;=S$4),IF(OR($C71="Milestone",$C71="Gate"),"◆","■"),"")</x:f>
      </x:c>
      <x:c r="T71" s="37" t="str">
        <x:f t="shared" si="67">IF(AND($I71&lt;=T$4+6,$J71&gt;=T$4),IF(OR($C71="Milestone",$C71="Gate"),"◆","■"),"")</x:f>
      </x:c>
      <x:c r="U71" s="37" t="str">
        <x:f t="shared" si="67">IF(AND($I71&lt;=U$4+6,$J71&gt;=U$4),IF(OR($C71="Milestone",$C71="Gate"),"◆","■"),"")</x:f>
      </x:c>
      <x:c r="V71" s="37" t="str">
        <x:f t="shared" si="67">IF(AND($I71&lt;=V$4+6,$J71&gt;=V$4),IF(OR($C71="Milestone",$C71="Gate"),"◆","■"),"")</x:f>
      </x:c>
      <x:c r="W71" s="37" t="str">
        <x:f t="shared" si="67">IF(AND($I71&lt;=W$4+6,$J71&gt;=W$4),IF(OR($C71="Milestone",$C71="Gate"),"◆","■"),"")</x:f>
        <x:v>■</x:v>
      </x:c>
      <x:c r="X71" s="37" t="str">
        <x:f t="shared" si="67">IF(AND($I71&lt;=X$4+6,$J71&gt;=X$4),IF(OR($C71="Milestone",$C71="Gate"),"◆","■"),"")</x:f>
        <x:v>■</x:v>
      </x:c>
      <x:c r="Y71" s="37" t="str">
        <x:f t="shared" si="67">IF(AND($I71&lt;=Y$4+6,$J71&gt;=Y$4),IF(OR($C71="Milestone",$C71="Gate"),"◆","■"),"")</x:f>
        <x:v>■</x:v>
      </x:c>
      <x:c r="Z71" s="37" t="str">
        <x:f t="shared" si="67">IF(AND($I71&lt;=Z$4+6,$J71&gt;=Z$4),IF(OR($C71="Milestone",$C71="Gate"),"◆","■"),"")</x:f>
      </x:c>
      <x:c r="AA71" s="37" t="str">
        <x:f t="shared" si="67">IF(AND($I71&lt;=AA$4+6,$J71&gt;=AA$4),IF(OR($C71="Milestone",$C71="Gate"),"◆","■"),"")</x:f>
      </x:c>
      <x:c r="AB71" s="37" t="str">
        <x:f t="shared" si="67">IF(AND($I71&lt;=AB$4+6,$J71&gt;=AB$4),IF(OR($C71="Milestone",$C71="Gate"),"◆","■"),"")</x:f>
      </x:c>
      <x:c r="AC71" s="37" t="str">
        <x:f t="shared" si="67">IF(AND($I71&lt;=AC$4+6,$J71&gt;=AC$4),IF(OR($C71="Milestone",$C71="Gate"),"◆","■"),"")</x:f>
      </x:c>
    </x:row>
    <x:row r="72" ht="34" customHeight="1">
      <x:c r="A72" s="24" t="str">
        <x:v>H05</x:v>
      </x:c>
      <x:c r="B72" s="24" t="str">
        <x:v>Hardening</x:v>
      </x:c>
      <x:c r="C72" s="24" t="str">
        <x:v>Task</x:v>
      </x:c>
      <x:c r="D72" s="24" t="str">
        <x:v>Security</x:v>
      </x:c>
      <x:c r="E72" s="24" t="str">
        <x:v>Harden sessions, CSRF/origin policy and role permissions</x:v>
      </x:c>
      <x:c r="F72" s="24" t="str">
        <x:v>Syed Muhtasim Alam</x:v>
      </x:c>
      <x:c r="G72" s="24" t="str">
        <x:v>Irfan</x:v>
      </x:c>
      <x:c r="H72" s="25" t="n">
        <x:v>6</x:v>
      </x:c>
      <x:c r="I72" s="26" t="n">
        <x:v>46371</x:v>
      </x:c>
      <x:c r="J72" s="26" t="n">
        <x:v>46383</x:v>
      </x:c>
      <x:c r="K72" s="24" t="str">
        <x:v>F07,H04</x:v>
      </x:c>
      <x:c r="L72" s="24" t="str">
        <x:v>Not started</x:v>
      </x:c>
      <x:c r="M72" s="24" t="str">
        <x:v>Security checklist and negative tests pass</x:v>
      </x:c>
      <x:c r="N72" s="24" t="str">
        <x:v>Document dev/prod differences</x:v>
      </x:c>
      <x:c r="O72" s="38" t="str">
        <x:f t="shared" ref="O72:AC72" si="68">IF(AND($I72&lt;=O$4+6,$J72&gt;=O$4),IF(OR($C72="Milestone",$C72="Gate"),"◆","■"),"")</x:f>
      </x:c>
      <x:c r="P72" s="38" t="str">
        <x:f t="shared" si="68">IF(AND($I72&lt;=P$4+6,$J72&gt;=P$4),IF(OR($C72="Milestone",$C72="Gate"),"◆","■"),"")</x:f>
      </x:c>
      <x:c r="Q72" s="38" t="str">
        <x:f t="shared" si="68">IF(AND($I72&lt;=Q$4+6,$J72&gt;=Q$4),IF(OR($C72="Milestone",$C72="Gate"),"◆","■"),"")</x:f>
      </x:c>
      <x:c r="R72" s="38" t="str">
        <x:f t="shared" si="68">IF(AND($I72&lt;=R$4+6,$J72&gt;=R$4),IF(OR($C72="Milestone",$C72="Gate"),"◆","■"),"")</x:f>
      </x:c>
      <x:c r="S72" s="38" t="str">
        <x:f t="shared" si="68">IF(AND($I72&lt;=S$4+6,$J72&gt;=S$4),IF(OR($C72="Milestone",$C72="Gate"),"◆","■"),"")</x:f>
      </x:c>
      <x:c r="T72" s="38" t="str">
        <x:f t="shared" si="68">IF(AND($I72&lt;=T$4+6,$J72&gt;=T$4),IF(OR($C72="Milestone",$C72="Gate"),"◆","■"),"")</x:f>
      </x:c>
      <x:c r="U72" s="38" t="str">
        <x:f t="shared" si="68">IF(AND($I72&lt;=U$4+6,$J72&gt;=U$4),IF(OR($C72="Milestone",$C72="Gate"),"◆","■"),"")</x:f>
      </x:c>
      <x:c r="V72" s="38" t="str">
        <x:f t="shared" si="68">IF(AND($I72&lt;=V$4+6,$J72&gt;=V$4),IF(OR($C72="Milestone",$C72="Gate"),"◆","■"),"")</x:f>
      </x:c>
      <x:c r="W72" s="38" t="str">
        <x:f t="shared" si="68">IF(AND($I72&lt;=W$4+6,$J72&gt;=W$4),IF(OR($C72="Milestone",$C72="Gate"),"◆","■"),"")</x:f>
      </x:c>
      <x:c r="X72" s="38" t="str">
        <x:f t="shared" si="68">IF(AND($I72&lt;=X$4+6,$J72&gt;=X$4),IF(OR($C72="Milestone",$C72="Gate"),"◆","■"),"")</x:f>
        <x:v>■</x:v>
      </x:c>
      <x:c r="Y72" s="38" t="str">
        <x:f t="shared" si="68">IF(AND($I72&lt;=Y$4+6,$J72&gt;=Y$4),IF(OR($C72="Milestone",$C72="Gate"),"◆","■"),"")</x:f>
        <x:v>■</x:v>
      </x:c>
      <x:c r="Z72" s="38" t="str">
        <x:f t="shared" si="68">IF(AND($I72&lt;=Z$4+6,$J72&gt;=Z$4),IF(OR($C72="Milestone",$C72="Gate"),"◆","■"),"")</x:f>
      </x:c>
      <x:c r="AA72" s="38" t="str">
        <x:f t="shared" si="68">IF(AND($I72&lt;=AA$4+6,$J72&gt;=AA$4),IF(OR($C72="Milestone",$C72="Gate"),"◆","■"),"")</x:f>
      </x:c>
      <x:c r="AB72" s="38" t="str">
        <x:f t="shared" si="68">IF(AND($I72&lt;=AB$4+6,$J72&gt;=AB$4),IF(OR($C72="Milestone",$C72="Gate"),"◆","■"),"")</x:f>
      </x:c>
      <x:c r="AC72" s="38" t="str">
        <x:f t="shared" si="68">IF(AND($I72&lt;=AC$4+6,$J72&gt;=AC$4),IF(OR($C72="Milestone",$C72="Gate"),"◆","■"),"")</x:f>
      </x:c>
    </x:row>
    <x:row r="73" ht="34" customHeight="1">
      <x:c r="A73" s="24" t="str">
        <x:v>H06</x:v>
      </x:c>
      <x:c r="B73" s="24" t="str">
        <x:v>Hardening</x:v>
      </x:c>
      <x:c r="C73" s="24" t="str">
        <x:v>Task</x:v>
      </x:c>
      <x:c r="D73" s="24" t="str">
        <x:v>Administration</x:v>
      </x:c>
      <x:c r="E73" s="24" t="str">
        <x:v>Polish moderation and source-maintenance workflow</x:v>
      </x:c>
      <x:c r="F73" s="24" t="str">
        <x:v>Shahriar Islam</x:v>
      </x:c>
      <x:c r="G73" s="24" t="str">
        <x:v>Abdullah</x:v>
      </x:c>
      <x:c r="H73" s="25" t="n">
        <x:v>5</x:v>
      </x:c>
      <x:c r="I73" s="26" t="n">
        <x:v>46371</x:v>
      </x:c>
      <x:c r="J73" s="26" t="n">
        <x:v>46383</x:v>
      </x:c>
      <x:c r="K73" s="24" t="str">
        <x:v>E10,H02</x:v>
      </x:c>
      <x:c r="L73" s="24" t="str">
        <x:v>Not started</x:v>
      </x:c>
      <x:c r="M73" s="24" t="str">
        <x:v>Admin tasks are usable and auditable</x:v>
      </x:c>
      <x:c r="N73" s="24" t="str">
        <x:v>Manual verification stated</x:v>
      </x:c>
      <x:c r="O73" s="37" t="str">
        <x:f t="shared" ref="O73:AC73" si="69">IF(AND($I73&lt;=O$4+6,$J73&gt;=O$4),IF(OR($C73="Milestone",$C73="Gate"),"◆","■"),"")</x:f>
      </x:c>
      <x:c r="P73" s="37" t="str">
        <x:f t="shared" si="69">IF(AND($I73&lt;=P$4+6,$J73&gt;=P$4),IF(OR($C73="Milestone",$C73="Gate"),"◆","■"),"")</x:f>
      </x:c>
      <x:c r="Q73" s="37" t="str">
        <x:f t="shared" si="69">IF(AND($I73&lt;=Q$4+6,$J73&gt;=Q$4),IF(OR($C73="Milestone",$C73="Gate"),"◆","■"),"")</x:f>
      </x:c>
      <x:c r="R73" s="37" t="str">
        <x:f t="shared" si="69">IF(AND($I73&lt;=R$4+6,$J73&gt;=R$4),IF(OR($C73="Milestone",$C73="Gate"),"◆","■"),"")</x:f>
      </x:c>
      <x:c r="S73" s="37" t="str">
        <x:f t="shared" si="69">IF(AND($I73&lt;=S$4+6,$J73&gt;=S$4),IF(OR($C73="Milestone",$C73="Gate"),"◆","■"),"")</x:f>
      </x:c>
      <x:c r="T73" s="37" t="str">
        <x:f t="shared" si="69">IF(AND($I73&lt;=T$4+6,$J73&gt;=T$4),IF(OR($C73="Milestone",$C73="Gate"),"◆","■"),"")</x:f>
      </x:c>
      <x:c r="U73" s="37" t="str">
        <x:f t="shared" si="69">IF(AND($I73&lt;=U$4+6,$J73&gt;=U$4),IF(OR($C73="Milestone",$C73="Gate"),"◆","■"),"")</x:f>
      </x:c>
      <x:c r="V73" s="37" t="str">
        <x:f t="shared" si="69">IF(AND($I73&lt;=V$4+6,$J73&gt;=V$4),IF(OR($C73="Milestone",$C73="Gate"),"◆","■"),"")</x:f>
      </x:c>
      <x:c r="W73" s="37" t="str">
        <x:f t="shared" si="69">IF(AND($I73&lt;=W$4+6,$J73&gt;=W$4),IF(OR($C73="Milestone",$C73="Gate"),"◆","■"),"")</x:f>
      </x:c>
      <x:c r="X73" s="37" t="str">
        <x:f t="shared" si="69">IF(AND($I73&lt;=X$4+6,$J73&gt;=X$4),IF(OR($C73="Milestone",$C73="Gate"),"◆","■"),"")</x:f>
        <x:v>■</x:v>
      </x:c>
      <x:c r="Y73" s="37" t="str">
        <x:f t="shared" si="69">IF(AND($I73&lt;=Y$4+6,$J73&gt;=Y$4),IF(OR($C73="Milestone",$C73="Gate"),"◆","■"),"")</x:f>
        <x:v>■</x:v>
      </x:c>
      <x:c r="Z73" s="37" t="str">
        <x:f t="shared" si="69">IF(AND($I73&lt;=Z$4+6,$J73&gt;=Z$4),IF(OR($C73="Milestone",$C73="Gate"),"◆","■"),"")</x:f>
      </x:c>
      <x:c r="AA73" s="37" t="str">
        <x:f t="shared" si="69">IF(AND($I73&lt;=AA$4+6,$J73&gt;=AA$4),IF(OR($C73="Milestone",$C73="Gate"),"◆","■"),"")</x:f>
      </x:c>
      <x:c r="AB73" s="37" t="str">
        <x:f t="shared" si="69">IF(AND($I73&lt;=AB$4+6,$J73&gt;=AB$4),IF(OR($C73="Milestone",$C73="Gate"),"◆","■"),"")</x:f>
      </x:c>
      <x:c r="AC73" s="37" t="str">
        <x:f t="shared" si="69">IF(AND($I73&lt;=AC$4+6,$J73&gt;=AC$4),IF(OR($C73="Milestone",$C73="Gate"),"◆","■"),"")</x:f>
      </x:c>
    </x:row>
    <x:row r="74" ht="34" customHeight="1">
      <x:c r="A74" s="24" t="str">
        <x:v>H07</x:v>
      </x:c>
      <x:c r="B74" s="24" t="str">
        <x:v>Hardening</x:v>
      </x:c>
      <x:c r="C74" s="24" t="str">
        <x:v>Task</x:v>
      </x:c>
      <x:c r="D74" s="24" t="str">
        <x:v>Automation QA</x:v>
      </x:c>
      <x:c r="E74" s="24" t="str">
        <x:v>Expand automated regression for core and extension modules</x:v>
      </x:c>
      <x:c r="F74" s="24" t="str">
        <x:v>Md. Irfan Iqbal</x:v>
      </x:c>
      <x:c r="G74" s="24" t="str">
        <x:v>Abdullah, Muhtasim</x:v>
      </x:c>
      <x:c r="H74" s="25" t="n">
        <x:v>5</x:v>
      </x:c>
      <x:c r="I74" s="26" t="n">
        <x:v>46364</x:v>
      </x:c>
      <x:c r="J74" s="26" t="n">
        <x:v>46383</x:v>
      </x:c>
      <x:c r="K74" s="24" t="str">
        <x:v>M2</x:v>
      </x:c>
      <x:c r="L74" s="24" t="str">
        <x:v>Not started</x:v>
      </x:c>
      <x:c r="M74" s="24" t="str">
        <x:v>Core and XFR-01 to XFR-05 API/UI checks run repeatably</x:v>
      </x:c>
      <x:c r="N74" s="24" t="str">
        <x:v>Track flaky tests</x:v>
      </x:c>
      <x:c r="O74" s="38" t="str">
        <x:f t="shared" ref="O74:AC74" si="70">IF(AND($I74&lt;=O$4+6,$J74&gt;=O$4),IF(OR($C74="Milestone",$C74="Gate"),"◆","■"),"")</x:f>
      </x:c>
      <x:c r="P74" s="38" t="str">
        <x:f t="shared" si="70">IF(AND($I74&lt;=P$4+6,$J74&gt;=P$4),IF(OR($C74="Milestone",$C74="Gate"),"◆","■"),"")</x:f>
      </x:c>
      <x:c r="Q74" s="38" t="str">
        <x:f t="shared" si="70">IF(AND($I74&lt;=Q$4+6,$J74&gt;=Q$4),IF(OR($C74="Milestone",$C74="Gate"),"◆","■"),"")</x:f>
      </x:c>
      <x:c r="R74" s="38" t="str">
        <x:f t="shared" si="70">IF(AND($I74&lt;=R$4+6,$J74&gt;=R$4),IF(OR($C74="Milestone",$C74="Gate"),"◆","■"),"")</x:f>
      </x:c>
      <x:c r="S74" s="38" t="str">
        <x:f t="shared" si="70">IF(AND($I74&lt;=S$4+6,$J74&gt;=S$4),IF(OR($C74="Milestone",$C74="Gate"),"◆","■"),"")</x:f>
      </x:c>
      <x:c r="T74" s="38" t="str">
        <x:f t="shared" si="70">IF(AND($I74&lt;=T$4+6,$J74&gt;=T$4),IF(OR($C74="Milestone",$C74="Gate"),"◆","■"),"")</x:f>
      </x:c>
      <x:c r="U74" s="38" t="str">
        <x:f t="shared" si="70">IF(AND($I74&lt;=U$4+6,$J74&gt;=U$4),IF(OR($C74="Milestone",$C74="Gate"),"◆","■"),"")</x:f>
      </x:c>
      <x:c r="V74" s="38" t="str">
        <x:f t="shared" si="70">IF(AND($I74&lt;=V$4+6,$J74&gt;=V$4),IF(OR($C74="Milestone",$C74="Gate"),"◆","■"),"")</x:f>
      </x:c>
      <x:c r="W74" s="38" t="str">
        <x:f t="shared" si="70">IF(AND($I74&lt;=W$4+6,$J74&gt;=W$4),IF(OR($C74="Milestone",$C74="Gate"),"◆","■"),"")</x:f>
        <x:v>■</x:v>
      </x:c>
      <x:c r="X74" s="38" t="str">
        <x:f t="shared" si="70">IF(AND($I74&lt;=X$4+6,$J74&gt;=X$4),IF(OR($C74="Milestone",$C74="Gate"),"◆","■"),"")</x:f>
        <x:v>■</x:v>
      </x:c>
      <x:c r="Y74" s="38" t="str">
        <x:f t="shared" si="70">IF(AND($I74&lt;=Y$4+6,$J74&gt;=Y$4),IF(OR($C74="Milestone",$C74="Gate"),"◆","■"),"")</x:f>
        <x:v>■</x:v>
      </x:c>
      <x:c r="Z74" s="38" t="str">
        <x:f t="shared" si="70">IF(AND($I74&lt;=Z$4+6,$J74&gt;=Z$4),IF(OR($C74="Milestone",$C74="Gate"),"◆","■"),"")</x:f>
      </x:c>
      <x:c r="AA74" s="38" t="str">
        <x:f t="shared" si="70">IF(AND($I74&lt;=AA$4+6,$J74&gt;=AA$4),IF(OR($C74="Milestone",$C74="Gate"),"◆","■"),"")</x:f>
      </x:c>
      <x:c r="AB74" s="38" t="str">
        <x:f t="shared" si="70">IF(AND($I74&lt;=AB$4+6,$J74&gt;=AB$4),IF(OR($C74="Milestone",$C74="Gate"),"◆","■"),"")</x:f>
      </x:c>
      <x:c r="AC74" s="38" t="str">
        <x:f t="shared" si="70">IF(AND($I74&lt;=AC$4+6,$J74&gt;=AC$4),IF(OR($C74="Milestone",$C74="Gate"),"◆","■"),"")</x:f>
      </x:c>
    </x:row>
    <x:row r="75" ht="34" customHeight="1">
      <x:c r="A75" s="24" t="str">
        <x:v>H08</x:v>
      </x:c>
      <x:c r="B75" s="24" t="str">
        <x:v>Hardening</x:v>
      </x:c>
      <x:c r="C75" s="24" t="str">
        <x:v>Task</x:v>
      </x:c>
      <x:c r="D75" s="24" t="str">
        <x:v>Usability QA</x:v>
      </x:c>
      <x:c r="E75" s="24" t="str">
        <x:v>Run pilot with at least eight consenting participants</x:v>
      </x:c>
      <x:c r="F75" s="24" t="str">
        <x:v>Md. Irfan Iqbal</x:v>
      </x:c>
      <x:c r="G75" s="24" t="str">
        <x:v>Shahriar</x:v>
      </x:c>
      <x:c r="H75" s="25" t="n">
        <x:v>5</x:v>
      </x:c>
      <x:c r="I75" s="26" t="n">
        <x:v>46371</x:v>
      </x:c>
      <x:c r="J75" s="26" t="n">
        <x:v>46385</x:v>
      </x:c>
      <x:c r="K75" s="24" t="str">
        <x:v>H01,H02</x:v>
      </x:c>
      <x:c r="L75" s="24" t="str">
        <x:v>Not started</x:v>
      </x:c>
      <x:c r="M75" s="24" t="str">
        <x:v>Includes Bangla-preferring and less technical users</x:v>
      </x:c>
      <x:c r="N75" s="24" t="str">
        <x:v>Retain only necessary study data</x:v>
      </x:c>
      <x:c r="O75" s="37" t="str">
        <x:f t="shared" ref="O75:AC75" si="71">IF(AND($I75&lt;=O$4+6,$J75&gt;=O$4),IF(OR($C75="Milestone",$C75="Gate"),"◆","■"),"")</x:f>
      </x:c>
      <x:c r="P75" s="37" t="str">
        <x:f t="shared" si="71">IF(AND($I75&lt;=P$4+6,$J75&gt;=P$4),IF(OR($C75="Milestone",$C75="Gate"),"◆","■"),"")</x:f>
      </x:c>
      <x:c r="Q75" s="37" t="str">
        <x:f t="shared" si="71">IF(AND($I75&lt;=Q$4+6,$J75&gt;=Q$4),IF(OR($C75="Milestone",$C75="Gate"),"◆","■"),"")</x:f>
      </x:c>
      <x:c r="R75" s="37" t="str">
        <x:f t="shared" si="71">IF(AND($I75&lt;=R$4+6,$J75&gt;=R$4),IF(OR($C75="Milestone",$C75="Gate"),"◆","■"),"")</x:f>
      </x:c>
      <x:c r="S75" s="37" t="str">
        <x:f t="shared" si="71">IF(AND($I75&lt;=S$4+6,$J75&gt;=S$4),IF(OR($C75="Milestone",$C75="Gate"),"◆","■"),"")</x:f>
      </x:c>
      <x:c r="T75" s="37" t="str">
        <x:f t="shared" si="71">IF(AND($I75&lt;=T$4+6,$J75&gt;=T$4),IF(OR($C75="Milestone",$C75="Gate"),"◆","■"),"")</x:f>
      </x:c>
      <x:c r="U75" s="37" t="str">
        <x:f t="shared" si="71">IF(AND($I75&lt;=U$4+6,$J75&gt;=U$4),IF(OR($C75="Milestone",$C75="Gate"),"◆","■"),"")</x:f>
      </x:c>
      <x:c r="V75" s="37" t="str">
        <x:f t="shared" si="71">IF(AND($I75&lt;=V$4+6,$J75&gt;=V$4),IF(OR($C75="Milestone",$C75="Gate"),"◆","■"),"")</x:f>
      </x:c>
      <x:c r="W75" s="37" t="str">
        <x:f t="shared" si="71">IF(AND($I75&lt;=W$4+6,$J75&gt;=W$4),IF(OR($C75="Milestone",$C75="Gate"),"◆","■"),"")</x:f>
      </x:c>
      <x:c r="X75" s="37" t="str">
        <x:f t="shared" si="71">IF(AND($I75&lt;=X$4+6,$J75&gt;=X$4),IF(OR($C75="Milestone",$C75="Gate"),"◆","■"),"")</x:f>
        <x:v>■</x:v>
      </x:c>
      <x:c r="Y75" s="37" t="str">
        <x:f t="shared" si="71">IF(AND($I75&lt;=Y$4+6,$J75&gt;=Y$4),IF(OR($C75="Milestone",$C75="Gate"),"◆","■"),"")</x:f>
        <x:v>■</x:v>
      </x:c>
      <x:c r="Z75" s="37" t="str">
        <x:f t="shared" si="71">IF(AND($I75&lt;=Z$4+6,$J75&gt;=Z$4),IF(OR($C75="Milestone",$C75="Gate"),"◆","■"),"")</x:f>
        <x:v>■</x:v>
      </x:c>
      <x:c r="AA75" s="37" t="str">
        <x:f t="shared" si="71">IF(AND($I75&lt;=AA$4+6,$J75&gt;=AA$4),IF(OR($C75="Milestone",$C75="Gate"),"◆","■"),"")</x:f>
      </x:c>
      <x:c r="AB75" s="37" t="str">
        <x:f t="shared" si="71">IF(AND($I75&lt;=AB$4+6,$J75&gt;=AB$4),IF(OR($C75="Milestone",$C75="Gate"),"◆","■"),"")</x:f>
      </x:c>
      <x:c r="AC75" s="37" t="str">
        <x:f t="shared" si="71">IF(AND($I75&lt;=AC$4+6,$J75&gt;=AC$4),IF(OR($C75="Milestone",$C75="Gate"),"◆","■"),"")</x:f>
      </x:c>
    </x:row>
    <x:row r="76" ht="34" customHeight="1">
      <x:c r="A76" s="24" t="str">
        <x:v>H09</x:v>
      </x:c>
      <x:c r="B76" s="24" t="str">
        <x:v>Hardening</x:v>
      </x:c>
      <x:c r="C76" s="24" t="str">
        <x:v>Task</x:v>
      </x:c>
      <x:c r="D76" s="24" t="str">
        <x:v>Accessibility</x:v>
      </x:c>
      <x:c r="E76" s="24" t="str">
        <x:v>Fix keyboard, readability, responsive and Bangla-rendering issues</x:v>
      </x:c>
      <x:c r="F76" s="24" t="str">
        <x:v>Abdullah Bin Sorwar Choudhury</x:v>
      </x:c>
      <x:c r="G76" s="24" t="str">
        <x:v>Irfan</x:v>
      </x:c>
      <x:c r="H76" s="25" t="n">
        <x:v>5</x:v>
      </x:c>
      <x:c r="I76" s="26" t="n">
        <x:v>46377</x:v>
      </x:c>
      <x:c r="J76" s="26" t="n">
        <x:v>46389</x:v>
      </x:c>
      <x:c r="K76" s="24" t="str">
        <x:v>H02,H08</x:v>
      </x:c>
      <x:c r="L76" s="24" t="str">
        <x:v>Not started</x:v>
      </x:c>
      <x:c r="M76" s="24" t="str">
        <x:v>Target flows usable on low-end Android</x:v>
      </x:c>
      <x:c r="N76" s="24" t="str">
        <x:v>Record remaining limitations</x:v>
      </x:c>
      <x:c r="O76" s="38" t="str">
        <x:f t="shared" ref="O76:AC76" si="72">IF(AND($I76&lt;=O$4+6,$J76&gt;=O$4),IF(OR($C76="Milestone",$C76="Gate"),"◆","■"),"")</x:f>
      </x:c>
      <x:c r="P76" s="38" t="str">
        <x:f t="shared" si="72">IF(AND($I76&lt;=P$4+6,$J76&gt;=P$4),IF(OR($C76="Milestone",$C76="Gate"),"◆","■"),"")</x:f>
      </x:c>
      <x:c r="Q76" s="38" t="str">
        <x:f t="shared" si="72">IF(AND($I76&lt;=Q$4+6,$J76&gt;=Q$4),IF(OR($C76="Milestone",$C76="Gate"),"◆","■"),"")</x:f>
      </x:c>
      <x:c r="R76" s="38" t="str">
        <x:f t="shared" si="72">IF(AND($I76&lt;=R$4+6,$J76&gt;=R$4),IF(OR($C76="Milestone",$C76="Gate"),"◆","■"),"")</x:f>
      </x:c>
      <x:c r="S76" s="38" t="str">
        <x:f t="shared" si="72">IF(AND($I76&lt;=S$4+6,$J76&gt;=S$4),IF(OR($C76="Milestone",$C76="Gate"),"◆","■"),"")</x:f>
      </x:c>
      <x:c r="T76" s="38" t="str">
        <x:f t="shared" si="72">IF(AND($I76&lt;=T$4+6,$J76&gt;=T$4),IF(OR($C76="Milestone",$C76="Gate"),"◆","■"),"")</x:f>
      </x:c>
      <x:c r="U76" s="38" t="str">
        <x:f t="shared" si="72">IF(AND($I76&lt;=U$4+6,$J76&gt;=U$4),IF(OR($C76="Milestone",$C76="Gate"),"◆","■"),"")</x:f>
      </x:c>
      <x:c r="V76" s="38" t="str">
        <x:f t="shared" si="72">IF(AND($I76&lt;=V$4+6,$J76&gt;=V$4),IF(OR($C76="Milestone",$C76="Gate"),"◆","■"),"")</x:f>
      </x:c>
      <x:c r="W76" s="38" t="str">
        <x:f t="shared" si="72">IF(AND($I76&lt;=W$4+6,$J76&gt;=W$4),IF(OR($C76="Milestone",$C76="Gate"),"◆","■"),"")</x:f>
      </x:c>
      <x:c r="X76" s="38" t="str">
        <x:f t="shared" si="72">IF(AND($I76&lt;=X$4+6,$J76&gt;=X$4),IF(OR($C76="Milestone",$C76="Gate"),"◆","■"),"")</x:f>
      </x:c>
      <x:c r="Y76" s="38" t="str">
        <x:f t="shared" si="72">IF(AND($I76&lt;=Y$4+6,$J76&gt;=Y$4),IF(OR($C76="Milestone",$C76="Gate"),"◆","■"),"")</x:f>
        <x:v>■</x:v>
      </x:c>
      <x:c r="Z76" s="38" t="str">
        <x:f t="shared" si="72">IF(AND($I76&lt;=Z$4+6,$J76&gt;=Z$4),IF(OR($C76="Milestone",$C76="Gate"),"◆","■"),"")</x:f>
        <x:v>■</x:v>
      </x:c>
      <x:c r="AA76" s="38" t="str">
        <x:f t="shared" si="72">IF(AND($I76&lt;=AA$4+6,$J76&gt;=AA$4),IF(OR($C76="Milestone",$C76="Gate"),"◆","■"),"")</x:f>
      </x:c>
      <x:c r="AB76" s="38" t="str">
        <x:f t="shared" si="72">IF(AND($I76&lt;=AB$4+6,$J76&gt;=AB$4),IF(OR($C76="Milestone",$C76="Gate"),"◆","■"),"")</x:f>
      </x:c>
      <x:c r="AC76" s="38" t="str">
        <x:f t="shared" si="72">IF(AND($I76&lt;=AC$4+6,$J76&gt;=AC$4),IF(OR($C76="Milestone",$C76="Gate"),"◆","■"),"")</x:f>
      </x:c>
    </x:row>
    <x:row r="77" ht="34" customHeight="1">
      <x:c r="A77" s="24" t="str">
        <x:v>H10</x:v>
      </x:c>
      <x:c r="B77" s="24" t="str">
        <x:v>Hardening</x:v>
      </x:c>
      <x:c r="C77" s="24" t="str">
        <x:v>Task</x:v>
      </x:c>
      <x:c r="D77" s="24" t="str">
        <x:v>Test readiness</x:v>
      </x:c>
      <x:c r="E77" s="24" t="str">
        <x:v>Prepare frozen test build, data, environment and procedures</x:v>
      </x:c>
      <x:c r="F77" s="24" t="str">
        <x:v>Md. Irfan Iqbal</x:v>
      </x:c>
      <x:c r="G77" s="24" t="str">
        <x:v>All</x:v>
      </x:c>
      <x:c r="H77" s="25" t="n">
        <x:v>5</x:v>
      </x:c>
      <x:c r="I77" s="26" t="n">
        <x:v>46384</x:v>
      </x:c>
      <x:c r="J77" s="26" t="n">
        <x:v>46390</x:v>
      </x:c>
      <x:c r="K77" s="24" t="str">
        <x:v>H03,H04,H05,H07,MD04,CM04,TM04,VB04,PY04</x:v>
      </x:c>
      <x:c r="L77" s="24" t="str">
        <x:v>Not started</x:v>
      </x:c>
      <x:c r="M77" s="24" t="str">
        <x:v>Versioned full-scope build, data and test briefing ready</x:v>
      </x:c>
      <x:c r="N77" s="24" t="str">
        <x:v>No untriaged blocker</x:v>
      </x:c>
      <x:c r="O77" s="37" t="str">
        <x:f t="shared" ref="O77:AC77" si="73">IF(AND($I77&lt;=O$4+6,$J77&gt;=O$4),IF(OR($C77="Milestone",$C77="Gate"),"◆","■"),"")</x:f>
      </x:c>
      <x:c r="P77" s="37" t="str">
        <x:f t="shared" si="73">IF(AND($I77&lt;=P$4+6,$J77&gt;=P$4),IF(OR($C77="Milestone",$C77="Gate"),"◆","■"),"")</x:f>
      </x:c>
      <x:c r="Q77" s="37" t="str">
        <x:f t="shared" si="73">IF(AND($I77&lt;=Q$4+6,$J77&gt;=Q$4),IF(OR($C77="Milestone",$C77="Gate"),"◆","■"),"")</x:f>
      </x:c>
      <x:c r="R77" s="37" t="str">
        <x:f t="shared" si="73">IF(AND($I77&lt;=R$4+6,$J77&gt;=R$4),IF(OR($C77="Milestone",$C77="Gate"),"◆","■"),"")</x:f>
      </x:c>
      <x:c r="S77" s="37" t="str">
        <x:f t="shared" si="73">IF(AND($I77&lt;=S$4+6,$J77&gt;=S$4),IF(OR($C77="Milestone",$C77="Gate"),"◆","■"),"")</x:f>
      </x:c>
      <x:c r="T77" s="37" t="str">
        <x:f t="shared" si="73">IF(AND($I77&lt;=T$4+6,$J77&gt;=T$4),IF(OR($C77="Milestone",$C77="Gate"),"◆","■"),"")</x:f>
      </x:c>
      <x:c r="U77" s="37" t="str">
        <x:f t="shared" si="73">IF(AND($I77&lt;=U$4+6,$J77&gt;=U$4),IF(OR($C77="Milestone",$C77="Gate"),"◆","■"),"")</x:f>
      </x:c>
      <x:c r="V77" s="37" t="str">
        <x:f t="shared" si="73">IF(AND($I77&lt;=V$4+6,$J77&gt;=V$4),IF(OR($C77="Milestone",$C77="Gate"),"◆","■"),"")</x:f>
      </x:c>
      <x:c r="W77" s="37" t="str">
        <x:f t="shared" si="73">IF(AND($I77&lt;=W$4+6,$J77&gt;=W$4),IF(OR($C77="Milestone",$C77="Gate"),"◆","■"),"")</x:f>
      </x:c>
      <x:c r="X77" s="37" t="str">
        <x:f t="shared" si="73">IF(AND($I77&lt;=X$4+6,$J77&gt;=X$4),IF(OR($C77="Milestone",$C77="Gate"),"◆","■"),"")</x:f>
      </x:c>
      <x:c r="Y77" s="37" t="str">
        <x:f t="shared" si="73">IF(AND($I77&lt;=Y$4+6,$J77&gt;=Y$4),IF(OR($C77="Milestone",$C77="Gate"),"◆","■"),"")</x:f>
      </x:c>
      <x:c r="Z77" s="37" t="str">
        <x:f t="shared" si="73">IF(AND($I77&lt;=Z$4+6,$J77&gt;=Z$4),IF(OR($C77="Milestone",$C77="Gate"),"◆","■"),"")</x:f>
        <x:v>■</x:v>
      </x:c>
      <x:c r="AA77" s="37" t="str">
        <x:f t="shared" si="73">IF(AND($I77&lt;=AA$4+6,$J77&gt;=AA$4),IF(OR($C77="Milestone",$C77="Gate"),"◆","■"),"")</x:f>
      </x:c>
      <x:c r="AB77" s="37" t="str">
        <x:f t="shared" si="73">IF(AND($I77&lt;=AB$4+6,$J77&gt;=AB$4),IF(OR($C77="Milestone",$C77="Gate"),"◆","■"),"")</x:f>
      </x:c>
      <x:c r="AC77" s="37" t="str">
        <x:f t="shared" si="73">IF(AND($I77&lt;=AC$4+6,$J77&gt;=AC$4),IF(OR($C77="Milestone",$C77="Gate"),"◆","■"),"")</x:f>
      </x:c>
    </x:row>
    <x:row r="78" ht="34" customHeight="1">
      <x:c r="A78" s="24" t="str">
        <x:v>H11</x:v>
      </x:c>
      <x:c r="B78" s="24" t="str">
        <x:v>Hardening</x:v>
      </x:c>
      <x:c r="C78" s="24" t="str">
        <x:v>Task</x:v>
      </x:c>
      <x:c r="D78" s="24" t="str">
        <x:v>Release readiness</x:v>
      </x:c>
      <x:c r="E78" s="24" t="str">
        <x:v>Prepare full-scope deployment, recovery, setup and operator documentation</x:v>
      </x:c>
      <x:c r="F78" s="24" t="str">
        <x:v>Shahriar Islam</x:v>
      </x:c>
      <x:c r="G78" s="24" t="str">
        <x:v>Muhtasim</x:v>
      </x:c>
      <x:c r="H78" s="25" t="n">
        <x:v>5</x:v>
      </x:c>
      <x:c r="I78" s="26" t="n">
        <x:v>46377</x:v>
      </x:c>
      <x:c r="J78" s="26" t="n">
        <x:v>46390</x:v>
      </x:c>
      <x:c r="K78" s="24" t="str">
        <x:v>H04,H06</x:v>
      </x:c>
      <x:c r="L78" s="24" t="str">
        <x:v>Not started</x:v>
      </x:c>
      <x:c r="M78" s="24" t="str">
        <x:v>Fresh setup and recovery rehearsal succeed</x:v>
      </x:c>
      <x:c r="N78" s="24" t="str">
        <x:v>Name post-semester data owner</x:v>
      </x:c>
      <x:c r="O78" s="38" t="str">
        <x:f t="shared" ref="O78:AC78" si="74">IF(AND($I78&lt;=O$4+6,$J78&gt;=O$4),IF(OR($C78="Milestone",$C78="Gate"),"◆","■"),"")</x:f>
      </x:c>
      <x:c r="P78" s="38" t="str">
        <x:f t="shared" si="74">IF(AND($I78&lt;=P$4+6,$J78&gt;=P$4),IF(OR($C78="Milestone",$C78="Gate"),"◆","■"),"")</x:f>
      </x:c>
      <x:c r="Q78" s="38" t="str">
        <x:f t="shared" si="74">IF(AND($I78&lt;=Q$4+6,$J78&gt;=Q$4),IF(OR($C78="Milestone",$C78="Gate"),"◆","■"),"")</x:f>
      </x:c>
      <x:c r="R78" s="38" t="str">
        <x:f t="shared" si="74">IF(AND($I78&lt;=R$4+6,$J78&gt;=R$4),IF(OR($C78="Milestone",$C78="Gate"),"◆","■"),"")</x:f>
      </x:c>
      <x:c r="S78" s="38" t="str">
        <x:f t="shared" si="74">IF(AND($I78&lt;=S$4+6,$J78&gt;=S$4),IF(OR($C78="Milestone",$C78="Gate"),"◆","■"),"")</x:f>
      </x:c>
      <x:c r="T78" s="38" t="str">
        <x:f t="shared" si="74">IF(AND($I78&lt;=T$4+6,$J78&gt;=T$4),IF(OR($C78="Milestone",$C78="Gate"),"◆","■"),"")</x:f>
      </x:c>
      <x:c r="U78" s="38" t="str">
        <x:f t="shared" si="74">IF(AND($I78&lt;=U$4+6,$J78&gt;=U$4),IF(OR($C78="Milestone",$C78="Gate"),"◆","■"),"")</x:f>
      </x:c>
      <x:c r="V78" s="38" t="str">
        <x:f t="shared" si="74">IF(AND($I78&lt;=V$4+6,$J78&gt;=V$4),IF(OR($C78="Milestone",$C78="Gate"),"◆","■"),"")</x:f>
      </x:c>
      <x:c r="W78" s="38" t="str">
        <x:f t="shared" si="74">IF(AND($I78&lt;=W$4+6,$J78&gt;=W$4),IF(OR($C78="Milestone",$C78="Gate"),"◆","■"),"")</x:f>
      </x:c>
      <x:c r="X78" s="38" t="str">
        <x:f t="shared" si="74">IF(AND($I78&lt;=X$4+6,$J78&gt;=X$4),IF(OR($C78="Milestone",$C78="Gate"),"◆","■"),"")</x:f>
      </x:c>
      <x:c r="Y78" s="38" t="str">
        <x:f t="shared" si="74">IF(AND($I78&lt;=Y$4+6,$J78&gt;=Y$4),IF(OR($C78="Milestone",$C78="Gate"),"◆","■"),"")</x:f>
        <x:v>■</x:v>
      </x:c>
      <x:c r="Z78" s="38" t="str">
        <x:f t="shared" si="74">IF(AND($I78&lt;=Z$4+6,$J78&gt;=Z$4),IF(OR($C78="Milestone",$C78="Gate"),"◆","■"),"")</x:f>
        <x:v>■</x:v>
      </x:c>
      <x:c r="AA78" s="38" t="str">
        <x:f t="shared" si="74">IF(AND($I78&lt;=AA$4+6,$J78&gt;=AA$4),IF(OR($C78="Milestone",$C78="Gate"),"◆","■"),"")</x:f>
      </x:c>
      <x:c r="AB78" s="38" t="str">
        <x:f t="shared" si="74">IF(AND($I78&lt;=AB$4+6,$J78&gt;=AB$4),IF(OR($C78="Milestone",$C78="Gate"),"◆","■"),"")</x:f>
      </x:c>
      <x:c r="AC78" s="38" t="str">
        <x:f t="shared" si="74">IF(AND($I78&lt;=AC$4+6,$J78&gt;=AC$4),IF(OR($C78="Milestone",$C78="Gate"),"◆","■"),"")</x:f>
      </x:c>
    </x:row>
    <x:row r="79" ht="34" customHeight="1">
      <x:c r="A79" s="34" t="str">
        <x:v>G1</x:v>
      </x:c>
      <x:c r="B79" s="34" t="str">
        <x:v>Hardening</x:v>
      </x:c>
      <x:c r="C79" s="34" t="str">
        <x:v>Gate</x:v>
      </x:c>
      <x:c r="D79" s="34" t="str">
        <x:v>Gate</x:v>
      </x:c>
      <x:c r="E79" s="34" t="str">
        <x:v>Testing-entry readiness review</x:v>
      </x:c>
      <x:c r="F79" s="34" t="str">
        <x:v>Shahriar Islam</x:v>
      </x:c>
      <x:c r="G79" s="34" t="str">
        <x:v>All</x:v>
      </x:c>
      <x:c r="H79" s="35" t="n">
        <x:v>1</x:v>
      </x:c>
      <x:c r="I79" s="36" t="n">
        <x:v>46390</x:v>
      </x:c>
      <x:c r="J79" s="36" t="n">
        <x:v>46390</x:v>
      </x:c>
      <x:c r="K79" s="34" t="str">
        <x:v>H10,H11,MD04,CM04,TM04,VB04,PY04</x:v>
      </x:c>
      <x:c r="L79" s="34" t="str">
        <x:v>Not started</x:v>
      </x:c>
      <x:c r="M79" s="34" t="str">
        <x:v>Full mandatory build, data, RTM and environment approved</x:v>
      </x:c>
      <x:c r="N79" s="34" t="str">
        <x:v>No scope additions after gate</x:v>
      </x:c>
      <x:c r="O79" s="39" t="str">
        <x:f>IF(AND($I79&lt;=O$4+6,$J79&gt;=O$4),IF(OR($C79="Milestone",$C79="Gate"),"◆","■"),"")</x:f>
      </x:c>
      <x:c r="P79" s="39" t="str">
        <x:f>IF(AND($I79&lt;=P$4+6,$J79&gt;=P$4),IF(OR($C79="Milestone",$C79="Gate"),"◆","■"),"")</x:f>
      </x:c>
      <x:c r="Q79" s="39" t="str">
        <x:f>IF(AND($I79&lt;=Q$4+6,$J79&gt;=Q$4),IF(OR($C79="Milestone",$C79="Gate"),"◆","■"),"")</x:f>
      </x:c>
      <x:c r="R79" s="39" t="str">
        <x:f>IF(AND($I79&lt;=R$4+6,$J79&gt;=R$4),IF(OR($C79="Milestone",$C79="Gate"),"◆","■"),"")</x:f>
      </x:c>
      <x:c r="S79" s="39" t="str">
        <x:f>IF(AND($I79&lt;=S$4+6,$J79&gt;=S$4),IF(OR($C79="Milestone",$C79="Gate"),"◆","■"),"")</x:f>
      </x:c>
      <x:c r="T79" s="39" t="str">
        <x:f>IF(AND($I79&lt;=T$4+6,$J79&gt;=T$4),IF(OR($C79="Milestone",$C79="Gate"),"◆","■"),"")</x:f>
      </x:c>
      <x:c r="U79" s="39" t="str">
        <x:f>IF(AND($I79&lt;=U$4+6,$J79&gt;=U$4),IF(OR($C79="Milestone",$C79="Gate"),"◆","■"),"")</x:f>
      </x:c>
      <x:c r="V79" s="39" t="str">
        <x:f>IF(AND($I79&lt;=V$4+6,$J79&gt;=V$4),IF(OR($C79="Milestone",$C79="Gate"),"◆","■"),"")</x:f>
      </x:c>
      <x:c r="W79" s="39" t="str">
        <x:f>IF(AND($I79&lt;=W$4+6,$J79&gt;=W$4),IF(OR($C79="Milestone",$C79="Gate"),"◆","■"),"")</x:f>
      </x:c>
      <x:c r="X79" s="39" t="str">
        <x:f>IF(AND($I79&lt;=X$4+6,$J79&gt;=X$4),IF(OR($C79="Milestone",$C79="Gate"),"◆","■"),"")</x:f>
      </x:c>
      <x:c r="Y79" s="39" t="str">
        <x:f>IF(AND($I79&lt;=Y$4+6,$J79&gt;=Y$4),IF(OR($C79="Milestone",$C79="Gate"),"◆","■"),"")</x:f>
      </x:c>
      <x:c r="Z79" s="39" t="str">
        <x:f>IF(AND($I79&lt;=Z$4+6,$J79&gt;=Z$4),IF(OR($C79="Milestone",$C79="Gate"),"◆","■"),"")</x:f>
        <x:v>◆</x:v>
      </x:c>
      <x:c r="AA79" s="39" t="str">
        <x:f>IF(AND($I79&lt;=AA$4+6,$J79&gt;=AA$4),IF(OR($C79="Milestone",$C79="Gate"),"◆","■"),"")</x:f>
      </x:c>
      <x:c r="AB79" s="39" t="str">
        <x:f>IF(AND($I79&lt;=AB$4+6,$J79&gt;=AB$4),IF(OR($C79="Milestone",$C79="Gate"),"◆","■"),"")</x:f>
      </x:c>
      <x:c r="AC79" s="39" t="str">
        <x:f>IF(AND($I79&lt;=AC$4+6,$J79&gt;=AC$4),IF(OR($C79="Milestone",$C79="Gate"),"◆","■"),"")</x:f>
      </x:c>
    </x:row>
    <x:row r="80" ht="34" customHeight="1">
      <x:c r="A80" s="24" t="str">
        <x:v>T01</x:v>
      </x:c>
      <x:c r="B80" s="24" t="str">
        <x:v>Formal Testing</x:v>
      </x:c>
      <x:c r="C80" s="24" t="str">
        <x:v>Task</x:v>
      </x:c>
      <x:c r="D80" s="24" t="str">
        <x:v>Test control</x:v>
      </x:c>
      <x:c r="E80" s="24" t="str">
        <x:v>Freeze build and brief testers on data, environment and defects</x:v>
      </x:c>
      <x:c r="F80" s="24" t="str">
        <x:v>Shahriar Islam</x:v>
      </x:c>
      <x:c r="G80" s="24" t="str">
        <x:v>Irfan</x:v>
      </x:c>
      <x:c r="H80" s="25" t="n">
        <x:v>3</x:v>
      </x:c>
      <x:c r="I80" s="26" t="n">
        <x:v>46391</x:v>
      </x:c>
      <x:c r="J80" s="26" t="n">
        <x:v>46391</x:v>
      </x:c>
      <x:c r="K80" s="24" t="str">
        <x:v>G1</x:v>
      </x:c>
      <x:c r="L80" s="24" t="str">
        <x:v>Not started</x:v>
      </x:c>
      <x:c r="M80" s="24" t="str">
        <x:v>Build ID and briefing record published</x:v>
      </x:c>
      <x:c r="N80" s="24" t="str">
        <x:v>Changes require defect reference</x:v>
      </x:c>
      <x:c r="O80" s="38" t="str">
        <x:f>IF(AND($I80&lt;=O$4+6,$J80&gt;=O$4),IF(OR($C80="Milestone",$C80="Gate"),"◆","■"),"")</x:f>
      </x:c>
      <x:c r="P80" s="38" t="str">
        <x:f>IF(AND($I80&lt;=P$4+6,$J80&gt;=P$4),IF(OR($C80="Milestone",$C80="Gate"),"◆","■"),"")</x:f>
      </x:c>
      <x:c r="Q80" s="38" t="str">
        <x:f>IF(AND($I80&lt;=Q$4+6,$J80&gt;=Q$4),IF(OR($C80="Milestone",$C80="Gate"),"◆","■"),"")</x:f>
      </x:c>
      <x:c r="R80" s="38" t="str">
        <x:f>IF(AND($I80&lt;=R$4+6,$J80&gt;=R$4),IF(OR($C80="Milestone",$C80="Gate"),"◆","■"),"")</x:f>
      </x:c>
      <x:c r="S80" s="38" t="str">
        <x:f>IF(AND($I80&lt;=S$4+6,$J80&gt;=S$4),IF(OR($C80="Milestone",$C80="Gate"),"◆","■"),"")</x:f>
      </x:c>
      <x:c r="T80" s="38" t="str">
        <x:f>IF(AND($I80&lt;=T$4+6,$J80&gt;=T$4),IF(OR($C80="Milestone",$C80="Gate"),"◆","■"),"")</x:f>
      </x:c>
      <x:c r="U80" s="38" t="str">
        <x:f>IF(AND($I80&lt;=U$4+6,$J80&gt;=U$4),IF(OR($C80="Milestone",$C80="Gate"),"◆","■"),"")</x:f>
      </x:c>
      <x:c r="V80" s="38" t="str">
        <x:f>IF(AND($I80&lt;=V$4+6,$J80&gt;=V$4),IF(OR($C80="Milestone",$C80="Gate"),"◆","■"),"")</x:f>
      </x:c>
      <x:c r="W80" s="38" t="str">
        <x:f>IF(AND($I80&lt;=W$4+6,$J80&gt;=W$4),IF(OR($C80="Milestone",$C80="Gate"),"◆","■"),"")</x:f>
      </x:c>
      <x:c r="X80" s="38" t="str">
        <x:f>IF(AND($I80&lt;=X$4+6,$J80&gt;=X$4),IF(OR($C80="Milestone",$C80="Gate"),"◆","■"),"")</x:f>
      </x:c>
      <x:c r="Y80" s="38" t="str">
        <x:f>IF(AND($I80&lt;=Y$4+6,$J80&gt;=Y$4),IF(OR($C80="Milestone",$C80="Gate"),"◆","■"),"")</x:f>
      </x:c>
      <x:c r="Z80" s="38" t="str">
        <x:f>IF(AND($I80&lt;=Z$4+6,$J80&gt;=Z$4),IF(OR($C80="Milestone",$C80="Gate"),"◆","■"),"")</x:f>
      </x:c>
      <x:c r="AA80" s="38" t="str">
        <x:f>IF(AND($I80&lt;=AA$4+6,$J80&gt;=AA$4),IF(OR($C80="Milestone",$C80="Gate"),"◆","■"),"")</x:f>
        <x:v>■</x:v>
      </x:c>
      <x:c r="AB80" s="38" t="str">
        <x:f>IF(AND($I80&lt;=AB$4+6,$J80&gt;=AB$4),IF(OR($C80="Milestone",$C80="Gate"),"◆","■"),"")</x:f>
      </x:c>
      <x:c r="AC80" s="38" t="str">
        <x:f>IF(AND($I80&lt;=AC$4+6,$J80&gt;=AC$4),IF(OR($C80="Milestone",$C80="Gate"),"◆","■"),"")</x:f>
      </x:c>
    </x:row>
    <x:row r="81" ht="34" customHeight="1">
      <x:c r="A81" s="24" t="str">
        <x:v>T02</x:v>
      </x:c>
      <x:c r="B81" s="24" t="str">
        <x:v>Formal Testing</x:v>
      </x:c>
      <x:c r="C81" s="24" t="str">
        <x:v>Task</x:v>
      </x:c>
      <x:c r="D81" s="24" t="str">
        <x:v>Test management</x:v>
      </x:c>
      <x:c r="E81" s="24" t="str">
        <x:v>Finalize RTM, master register and execution records</x:v>
      </x:c>
      <x:c r="F81" s="24" t="str">
        <x:v>Md. Irfan Iqbal</x:v>
      </x:c>
      <x:c r="G81" s="24" t="str">
        <x:v>All</x:v>
      </x:c>
      <x:c r="H81" s="25" t="n">
        <x:v>5</x:v>
      </x:c>
      <x:c r="I81" s="26" t="n">
        <x:v>46391</x:v>
      </x:c>
      <x:c r="J81" s="26" t="n">
        <x:v>46392</x:v>
      </x:c>
      <x:c r="K81" s="24" t="str">
        <x:v>H10</x:v>
      </x:c>
      <x:c r="L81" s="24" t="str">
        <x:v>Not started</x:v>
      </x:c>
      <x:c r="M81" s="24" t="str">
        <x:v>Every original-core and extension requirement has test IDs</x:v>
      </x:c>
      <x:c r="N81" s="24" t="str">
        <x:v>Templates include evidence/retest fields</x:v>
      </x:c>
      <x:c r="O81" s="37" t="str">
        <x:f>IF(AND($I81&lt;=O$4+6,$J81&gt;=O$4),IF(OR($C81="Milestone",$C81="Gate"),"◆","■"),"")</x:f>
      </x:c>
      <x:c r="P81" s="37" t="str">
        <x:f>IF(AND($I81&lt;=P$4+6,$J81&gt;=P$4),IF(OR($C81="Milestone",$C81="Gate"),"◆","■"),"")</x:f>
      </x:c>
      <x:c r="Q81" s="37" t="str">
        <x:f>IF(AND($I81&lt;=Q$4+6,$J81&gt;=Q$4),IF(OR($C81="Milestone",$C81="Gate"),"◆","■"),"")</x:f>
      </x:c>
      <x:c r="R81" s="37" t="str">
        <x:f>IF(AND($I81&lt;=R$4+6,$J81&gt;=R$4),IF(OR($C81="Milestone",$C81="Gate"),"◆","■"),"")</x:f>
      </x:c>
      <x:c r="S81" s="37" t="str">
        <x:f>IF(AND($I81&lt;=S$4+6,$J81&gt;=S$4),IF(OR($C81="Milestone",$C81="Gate"),"◆","■"),"")</x:f>
      </x:c>
      <x:c r="T81" s="37" t="str">
        <x:f>IF(AND($I81&lt;=T$4+6,$J81&gt;=T$4),IF(OR($C81="Milestone",$C81="Gate"),"◆","■"),"")</x:f>
      </x:c>
      <x:c r="U81" s="37" t="str">
        <x:f>IF(AND($I81&lt;=U$4+6,$J81&gt;=U$4),IF(OR($C81="Milestone",$C81="Gate"),"◆","■"),"")</x:f>
      </x:c>
      <x:c r="V81" s="37" t="str">
        <x:f>IF(AND($I81&lt;=V$4+6,$J81&gt;=V$4),IF(OR($C81="Milestone",$C81="Gate"),"◆","■"),"")</x:f>
      </x:c>
      <x:c r="W81" s="37" t="str">
        <x:f>IF(AND($I81&lt;=W$4+6,$J81&gt;=W$4),IF(OR($C81="Milestone",$C81="Gate"),"◆","■"),"")</x:f>
      </x:c>
      <x:c r="X81" s="37" t="str">
        <x:f>IF(AND($I81&lt;=X$4+6,$J81&gt;=X$4),IF(OR($C81="Milestone",$C81="Gate"),"◆","■"),"")</x:f>
      </x:c>
      <x:c r="Y81" s="37" t="str">
        <x:f>IF(AND($I81&lt;=Y$4+6,$J81&gt;=Y$4),IF(OR($C81="Milestone",$C81="Gate"),"◆","■"),"")</x:f>
      </x:c>
      <x:c r="Z81" s="37" t="str">
        <x:f>IF(AND($I81&lt;=Z$4+6,$J81&gt;=Z$4),IF(OR($C81="Milestone",$C81="Gate"),"◆","■"),"")</x:f>
      </x:c>
      <x:c r="AA81" s="37" t="str">
        <x:f>IF(AND($I81&lt;=AA$4+6,$J81&gt;=AA$4),IF(OR($C81="Milestone",$C81="Gate"),"◆","■"),"")</x:f>
        <x:v>■</x:v>
      </x:c>
      <x:c r="AB81" s="37" t="str">
        <x:f>IF(AND($I81&lt;=AB$4+6,$J81&gt;=AB$4),IF(OR($C81="Milestone",$C81="Gate"),"◆","■"),"")</x:f>
      </x:c>
      <x:c r="AC81" s="37" t="str">
        <x:f>IF(AND($I81&lt;=AC$4+6,$J81&gt;=AC$4),IF(OR($C81="Milestone",$C81="Gate"),"◆","■"),"")</x:f>
      </x:c>
    </x:row>
    <x:row r="82" ht="34" customHeight="1">
      <x:c r="A82" s="24" t="str">
        <x:v>T03</x:v>
      </x:c>
      <x:c r="B82" s="24" t="str">
        <x:v>Formal Testing</x:v>
      </x:c>
      <x:c r="C82" s="24" t="str">
        <x:v>Task</x:v>
      </x:c>
      <x:c r="D82" s="24" t="str">
        <x:v>Functional QA</x:v>
      </x:c>
      <x:c r="E82" s="24" t="str">
        <x:v>Execute full functional flows across all mandatory modules</x:v>
      </x:c>
      <x:c r="F82" s="24" t="str">
        <x:v>Md. Irfan Iqbal</x:v>
      </x:c>
      <x:c r="G82" s="24" t="str">
        <x:v>All</x:v>
      </x:c>
      <x:c r="H82" s="25" t="n">
        <x:v>6</x:v>
      </x:c>
      <x:c r="I82" s="26" t="n">
        <x:v>46392</x:v>
      </x:c>
      <x:c r="J82" s="26" t="n">
        <x:v>46395</x:v>
      </x:c>
      <x:c r="K82" s="24" t="str">
        <x:v>T02</x:v>
      </x:c>
      <x:c r="L82" s="24" t="str">
        <x:v>Not started</x:v>
      </x:c>
      <x:c r="M82" s="24" t="str">
        <x:v>Destination, estimate, offline, review, media, community, tourmate, booking and sandbox-payment evidence recorded</x:v>
      </x:c>
      <x:c r="N82" s="24" t="str">
        <x:v>Cover reconnect and moderation</x:v>
      </x:c>
      <x:c r="O82" s="38" t="str">
        <x:f>IF(AND($I82&lt;=O$4+6,$J82&gt;=O$4),IF(OR($C82="Milestone",$C82="Gate"),"◆","■"),"")</x:f>
      </x:c>
      <x:c r="P82" s="38" t="str">
        <x:f>IF(AND($I82&lt;=P$4+6,$J82&gt;=P$4),IF(OR($C82="Milestone",$C82="Gate"),"◆","■"),"")</x:f>
      </x:c>
      <x:c r="Q82" s="38" t="str">
        <x:f>IF(AND($I82&lt;=Q$4+6,$J82&gt;=Q$4),IF(OR($C82="Milestone",$C82="Gate"),"◆","■"),"")</x:f>
      </x:c>
      <x:c r="R82" s="38" t="str">
        <x:f>IF(AND($I82&lt;=R$4+6,$J82&gt;=R$4),IF(OR($C82="Milestone",$C82="Gate"),"◆","■"),"")</x:f>
      </x:c>
      <x:c r="S82" s="38" t="str">
        <x:f>IF(AND($I82&lt;=S$4+6,$J82&gt;=S$4),IF(OR($C82="Milestone",$C82="Gate"),"◆","■"),"")</x:f>
      </x:c>
      <x:c r="T82" s="38" t="str">
        <x:f>IF(AND($I82&lt;=T$4+6,$J82&gt;=T$4),IF(OR($C82="Milestone",$C82="Gate"),"◆","■"),"")</x:f>
      </x:c>
      <x:c r="U82" s="38" t="str">
        <x:f>IF(AND($I82&lt;=U$4+6,$J82&gt;=U$4),IF(OR($C82="Milestone",$C82="Gate"),"◆","■"),"")</x:f>
      </x:c>
      <x:c r="V82" s="38" t="str">
        <x:f>IF(AND($I82&lt;=V$4+6,$J82&gt;=V$4),IF(OR($C82="Milestone",$C82="Gate"),"◆","■"),"")</x:f>
      </x:c>
      <x:c r="W82" s="38" t="str">
        <x:f>IF(AND($I82&lt;=W$4+6,$J82&gt;=W$4),IF(OR($C82="Milestone",$C82="Gate"),"◆","■"),"")</x:f>
      </x:c>
      <x:c r="X82" s="38" t="str">
        <x:f>IF(AND($I82&lt;=X$4+6,$J82&gt;=X$4),IF(OR($C82="Milestone",$C82="Gate"),"◆","■"),"")</x:f>
      </x:c>
      <x:c r="Y82" s="38" t="str">
        <x:f>IF(AND($I82&lt;=Y$4+6,$J82&gt;=Y$4),IF(OR($C82="Milestone",$C82="Gate"),"◆","■"),"")</x:f>
      </x:c>
      <x:c r="Z82" s="38" t="str">
        <x:f>IF(AND($I82&lt;=Z$4+6,$J82&gt;=Z$4),IF(OR($C82="Milestone",$C82="Gate"),"◆","■"),"")</x:f>
      </x:c>
      <x:c r="AA82" s="38" t="str">
        <x:f>IF(AND($I82&lt;=AA$4+6,$J82&gt;=AA$4),IF(OR($C82="Milestone",$C82="Gate"),"◆","■"),"")</x:f>
        <x:v>■</x:v>
      </x:c>
      <x:c r="AB82" s="38" t="str">
        <x:f>IF(AND($I82&lt;=AB$4+6,$J82&gt;=AB$4),IF(OR($C82="Milestone",$C82="Gate"),"◆","■"),"")</x:f>
      </x:c>
      <x:c r="AC82" s="38" t="str">
        <x:f>IF(AND($I82&lt;=AC$4+6,$J82&gt;=AC$4),IF(OR($C82="Milestone",$C82="Gate"),"◆","■"),"")</x:f>
      </x:c>
    </x:row>
    <x:row r="83" ht="34" customHeight="1">
      <x:c r="A83" s="24" t="str">
        <x:v>T04</x:v>
      </x:c>
      <x:c r="B83" s="24" t="str">
        <x:v>Formal Testing</x:v>
      </x:c>
      <x:c r="C83" s="24" t="str">
        <x:f t="shared" ref="C83:C86" si="75">COUNTIF($F$5:$F$78,A83)</x:f>
        <x:v>Task</x:v>
      </x:c>
      <x:c r="D83" s="24" t="str">
        <x:f t="shared" ref="D83:D86" si="76">SUMIF($F$5:$F$78,A83,$H$5:$H$78)</x:f>
        <x:v>Non-functional QA</x:v>
      </x:c>
      <x:c r="E83" s="24" t="str">
        <x:f t="shared" ref="E83:E86" si="77">D83/SUM($D$83:$D$86)</x:f>
        <x:v>Execute network, device, accessibility, privacy and security tests</x:v>
      </x:c>
      <x:c r="F83" s="24" t="str">
        <x:v>Md. Irfan Iqbal</x:v>
      </x:c>
      <x:c r="G83" s="24" t="str">
        <x:v>Abdullah, Muhtasim</x:v>
      </x:c>
      <x:c r="H83" s="25" t="n">
        <x:v>6</x:v>
      </x:c>
      <x:c r="I83" s="26" t="n">
        <x:v>46392</x:v>
      </x:c>
      <x:c r="J83" s="26" t="n">
        <x:v>46396</x:v>
      </x:c>
      <x:c r="K83" s="24" t="str">
        <x:v>T02</x:v>
      </x:c>
      <x:c r="L83" s="24" t="str">
        <x:v>Not started</x:v>
      </x:c>
      <x:c r="M83" s="24" t="str">
        <x:v>Metrics cover public, private, media and sandbox-payment boundaries</x:v>
      </x:c>
      <x:c r="N83" s="24" t="str">
        <x:v>Private API data not publicly cached</x:v>
      </x:c>
      <x:c r="O83" s="37" t="str">
        <x:f>IF(AND($I83&lt;=O$4+6,$J83&gt;=O$4),IF(OR($C83="Milestone",$C83="Gate"),"◆","■"),"")</x:f>
      </x:c>
      <x:c r="P83" s="37" t="str">
        <x:f>IF(AND($I83&lt;=P$4+6,$J83&gt;=P$4),IF(OR($C83="Milestone",$C83="Gate"),"◆","■"),"")</x:f>
      </x:c>
      <x:c r="Q83" s="37" t="str">
        <x:f>IF(AND($I83&lt;=Q$4+6,$J83&gt;=Q$4),IF(OR($C83="Milestone",$C83="Gate"),"◆","■"),"")</x:f>
      </x:c>
      <x:c r="R83" s="37" t="str">
        <x:f>IF(AND($I83&lt;=R$4+6,$J83&gt;=R$4),IF(OR($C83="Milestone",$C83="Gate"),"◆","■"),"")</x:f>
      </x:c>
      <x:c r="S83" s="37" t="str">
        <x:f>IF(AND($I83&lt;=S$4+6,$J83&gt;=S$4),IF(OR($C83="Milestone",$C83="Gate"),"◆","■"),"")</x:f>
      </x:c>
      <x:c r="T83" s="37" t="str">
        <x:f>IF(AND($I83&lt;=T$4+6,$J83&gt;=T$4),IF(OR($C83="Milestone",$C83="Gate"),"◆","■"),"")</x:f>
      </x:c>
      <x:c r="U83" s="37" t="str">
        <x:f>IF(AND($I83&lt;=U$4+6,$J83&gt;=U$4),IF(OR($C83="Milestone",$C83="Gate"),"◆","■"),"")</x:f>
      </x:c>
      <x:c r="V83" s="37" t="str">
        <x:f>IF(AND($I83&lt;=V$4+6,$J83&gt;=V$4),IF(OR($C83="Milestone",$C83="Gate"),"◆","■"),"")</x:f>
      </x:c>
      <x:c r="W83" s="37" t="str">
        <x:f>IF(AND($I83&lt;=W$4+6,$J83&gt;=W$4),IF(OR($C83="Milestone",$C83="Gate"),"◆","■"),"")</x:f>
      </x:c>
      <x:c r="X83" s="37" t="str">
        <x:f>IF(AND($I83&lt;=X$4+6,$J83&gt;=X$4),IF(OR($C83="Milestone",$C83="Gate"),"◆","■"),"")</x:f>
      </x:c>
      <x:c r="Y83" s="37" t="str">
        <x:f>IF(AND($I83&lt;=Y$4+6,$J83&gt;=Y$4),IF(OR($C83="Milestone",$C83="Gate"),"◆","■"),"")</x:f>
      </x:c>
      <x:c r="Z83" s="37" t="str">
        <x:f>IF(AND($I83&lt;=Z$4+6,$J83&gt;=Z$4),IF(OR($C83="Milestone",$C83="Gate"),"◆","■"),"")</x:f>
      </x:c>
      <x:c r="AA83" s="37" t="str">
        <x:f>IF(AND($I83&lt;=AA$4+6,$J83&gt;=AA$4),IF(OR($C83="Milestone",$C83="Gate"),"◆","■"),"")</x:f>
        <x:v>■</x:v>
      </x:c>
      <x:c r="AB83" s="37" t="str">
        <x:f>IF(AND($I83&lt;=AB$4+6,$J83&gt;=AB$4),IF(OR($C83="Milestone",$C83="Gate"),"◆","■"),"")</x:f>
      </x:c>
      <x:c r="AC83" s="37" t="str">
        <x:f>IF(AND($I83&lt;=AC$4+6,$J83&gt;=AC$4),IF(OR($C83="Milestone",$C83="Gate"),"◆","■"),"")</x:f>
      </x:c>
    </x:row>
    <x:row r="84" ht="34" customHeight="1">
      <x:c r="A84" s="24" t="str">
        <x:v>T05</x:v>
      </x:c>
      <x:c r="B84" s="24" t="str">
        <x:v>Formal Testing</x:v>
      </x:c>
      <x:c r="C84" s="24" t="str">
        <x:f t="shared" si="75"/>
        <x:v>Task</x:v>
      </x:c>
      <x:c r="D84" s="24" t="str">
        <x:f t="shared" si="76"/>
        <x:v>Frontend fixes</x:v>
      </x:c>
      <x:c r="E84" s="24" t="str">
        <x:f t="shared" si="77"/>
        <x:v>Resolve assigned UI, bilingual and offline defects</x:v>
      </x:c>
      <x:c r="F84" s="24" t="str">
        <x:v>Abdullah Bin Sorwar Choudhury</x:v>
      </x:c>
      <x:c r="G84" s="24" t="str">
        <x:v>Irfan</x:v>
      </x:c>
      <x:c r="H84" s="25" t="n">
        <x:v>6</x:v>
      </x:c>
      <x:c r="I84" s="26" t="n">
        <x:v>46393</x:v>
      </x:c>
      <x:c r="J84" s="26" t="n">
        <x:v>46397</x:v>
      </x:c>
      <x:c r="K84" s="24" t="str">
        <x:v>T03,T04</x:v>
      </x:c>
      <x:c r="L84" s="24" t="str">
        <x:v>Not started</x:v>
      </x:c>
      <x:c r="M84" s="24" t="str">
        <x:v>Critical/high frontend defects retested</x:v>
      </x:c>
      <x:c r="N84" s="24" t="str">
        <x:v>No unrelated feature work</x:v>
      </x:c>
      <x:c r="O84" s="38" t="str">
        <x:f>IF(AND($I84&lt;=O$4+6,$J84&gt;=O$4),IF(OR($C84="Milestone",$C84="Gate"),"◆","■"),"")</x:f>
      </x:c>
      <x:c r="P84" s="38" t="str">
        <x:f>IF(AND($I84&lt;=P$4+6,$J84&gt;=P$4),IF(OR($C84="Milestone",$C84="Gate"),"◆","■"),"")</x:f>
      </x:c>
      <x:c r="Q84" s="38" t="str">
        <x:f>IF(AND($I84&lt;=Q$4+6,$J84&gt;=Q$4),IF(OR($C84="Milestone",$C84="Gate"),"◆","■"),"")</x:f>
      </x:c>
      <x:c r="R84" s="38" t="str">
        <x:f>IF(AND($I84&lt;=R$4+6,$J84&gt;=R$4),IF(OR($C84="Milestone",$C84="Gate"),"◆","■"),"")</x:f>
      </x:c>
      <x:c r="S84" s="38" t="str">
        <x:f>IF(AND($I84&lt;=S$4+6,$J84&gt;=S$4),IF(OR($C84="Milestone",$C84="Gate"),"◆","■"),"")</x:f>
      </x:c>
      <x:c r="T84" s="38" t="str">
        <x:f>IF(AND($I84&lt;=T$4+6,$J84&gt;=T$4),IF(OR($C84="Milestone",$C84="Gate"),"◆","■"),"")</x:f>
      </x:c>
      <x:c r="U84" s="38" t="str">
        <x:f>IF(AND($I84&lt;=U$4+6,$J84&gt;=U$4),IF(OR($C84="Milestone",$C84="Gate"),"◆","■"),"")</x:f>
      </x:c>
      <x:c r="V84" s="38" t="str">
        <x:f>IF(AND($I84&lt;=V$4+6,$J84&gt;=V$4),IF(OR($C84="Milestone",$C84="Gate"),"◆","■"),"")</x:f>
      </x:c>
      <x:c r="W84" s="38" t="str">
        <x:f>IF(AND($I84&lt;=W$4+6,$J84&gt;=W$4),IF(OR($C84="Milestone",$C84="Gate"),"◆","■"),"")</x:f>
      </x:c>
      <x:c r="X84" s="38" t="str">
        <x:f>IF(AND($I84&lt;=X$4+6,$J84&gt;=X$4),IF(OR($C84="Milestone",$C84="Gate"),"◆","■"),"")</x:f>
      </x:c>
      <x:c r="Y84" s="38" t="str">
        <x:f>IF(AND($I84&lt;=Y$4+6,$J84&gt;=Y$4),IF(OR($C84="Milestone",$C84="Gate"),"◆","■"),"")</x:f>
      </x:c>
      <x:c r="Z84" s="38" t="str">
        <x:f>IF(AND($I84&lt;=Z$4+6,$J84&gt;=Z$4),IF(OR($C84="Milestone",$C84="Gate"),"◆","■"),"")</x:f>
      </x:c>
      <x:c r="AA84" s="38" t="str">
        <x:f>IF(AND($I84&lt;=AA$4+6,$J84&gt;=AA$4),IF(OR($C84="Milestone",$C84="Gate"),"◆","■"),"")</x:f>
        <x:v>■</x:v>
      </x:c>
      <x:c r="AB84" s="38" t="str">
        <x:f>IF(AND($I84&lt;=AB$4+6,$J84&gt;=AB$4),IF(OR($C84="Milestone",$C84="Gate"),"◆","■"),"")</x:f>
      </x:c>
      <x:c r="AC84" s="38" t="str">
        <x:f>IF(AND($I84&lt;=AC$4+6,$J84&gt;=AC$4),IF(OR($C84="Milestone",$C84="Gate"),"◆","■"),"")</x:f>
      </x:c>
    </x:row>
    <x:row r="85" ht="34" customHeight="1">
      <x:c r="A85" s="24" t="str">
        <x:v>T06</x:v>
      </x:c>
      <x:c r="B85" s="24" t="str">
        <x:v>Formal Testing</x:v>
      </x:c>
      <x:c r="C85" s="24" t="str">
        <x:f t="shared" si="75"/>
        <x:v>Task</x:v>
      </x:c>
      <x:c r="D85" s="24" t="str">
        <x:f t="shared" si="76"/>
        <x:v>Backend fixes</x:v>
      </x:c>
      <x:c r="E85" s="24" t="str">
        <x:f t="shared" si="77"/>
        <x:v>Resolve assigned API, security and data defects</x:v>
      </x:c>
      <x:c r="F85" s="24" t="str">
        <x:v>Syed Muhtasim Alam</x:v>
      </x:c>
      <x:c r="G85" s="24" t="str">
        <x:v>Irfan</x:v>
      </x:c>
      <x:c r="H85" s="25" t="n">
        <x:v>6</x:v>
      </x:c>
      <x:c r="I85" s="26" t="n">
        <x:v>46393</x:v>
      </x:c>
      <x:c r="J85" s="26" t="n">
        <x:v>46397</x:v>
      </x:c>
      <x:c r="K85" s="24" t="str">
        <x:v>T03,T04</x:v>
      </x:c>
      <x:c r="L85" s="24" t="str">
        <x:v>Not started</x:v>
      </x:c>
      <x:c r="M85" s="24" t="str">
        <x:v>Critical/high backend defects retested</x:v>
      </x:c>
      <x:c r="N85" s="24" t="str">
        <x:v>Migration remains reproducible</x:v>
      </x:c>
      <x:c r="O85" s="37" t="str">
        <x:f>IF(AND($I85&lt;=O$4+6,$J85&gt;=O$4),IF(OR($C85="Milestone",$C85="Gate"),"◆","■"),"")</x:f>
      </x:c>
      <x:c r="P85" s="37" t="str">
        <x:f>IF(AND($I85&lt;=P$4+6,$J85&gt;=P$4),IF(OR($C85="Milestone",$C85="Gate"),"◆","■"),"")</x:f>
      </x:c>
      <x:c r="Q85" s="37" t="str">
        <x:f>IF(AND($I85&lt;=Q$4+6,$J85&gt;=Q$4),IF(OR($C85="Milestone",$C85="Gate"),"◆","■"),"")</x:f>
      </x:c>
      <x:c r="R85" s="37" t="str">
        <x:f>IF(AND($I85&lt;=R$4+6,$J85&gt;=R$4),IF(OR($C85="Milestone",$C85="Gate"),"◆","■"),"")</x:f>
      </x:c>
      <x:c r="S85" s="37" t="str">
        <x:f>IF(AND($I85&lt;=S$4+6,$J85&gt;=S$4),IF(OR($C85="Milestone",$C85="Gate"),"◆","■"),"")</x:f>
      </x:c>
      <x:c r="T85" s="37" t="str">
        <x:f>IF(AND($I85&lt;=T$4+6,$J85&gt;=T$4),IF(OR($C85="Milestone",$C85="Gate"),"◆","■"),"")</x:f>
      </x:c>
      <x:c r="U85" s="37" t="str">
        <x:f>IF(AND($I85&lt;=U$4+6,$J85&gt;=U$4),IF(OR($C85="Milestone",$C85="Gate"),"◆","■"),"")</x:f>
      </x:c>
      <x:c r="V85" s="37" t="str">
        <x:f>IF(AND($I85&lt;=V$4+6,$J85&gt;=V$4),IF(OR($C85="Milestone",$C85="Gate"),"◆","■"),"")</x:f>
      </x:c>
      <x:c r="W85" s="37" t="str">
        <x:f>IF(AND($I85&lt;=W$4+6,$J85&gt;=W$4),IF(OR($C85="Milestone",$C85="Gate"),"◆","■"),"")</x:f>
      </x:c>
      <x:c r="X85" s="37" t="str">
        <x:f>IF(AND($I85&lt;=X$4+6,$J85&gt;=X$4),IF(OR($C85="Milestone",$C85="Gate"),"◆","■"),"")</x:f>
      </x:c>
      <x:c r="Y85" s="37" t="str">
        <x:f>IF(AND($I85&lt;=Y$4+6,$J85&gt;=Y$4),IF(OR($C85="Milestone",$C85="Gate"),"◆","■"),"")</x:f>
      </x:c>
      <x:c r="Z85" s="37" t="str">
        <x:f>IF(AND($I85&lt;=Z$4+6,$J85&gt;=Z$4),IF(OR($C85="Milestone",$C85="Gate"),"◆","■"),"")</x:f>
      </x:c>
      <x:c r="AA85" s="37" t="str">
        <x:f>IF(AND($I85&lt;=AA$4+6,$J85&gt;=AA$4),IF(OR($C85="Milestone",$C85="Gate"),"◆","■"),"")</x:f>
        <x:v>■</x:v>
      </x:c>
      <x:c r="AB85" s="37" t="str">
        <x:f>IF(AND($I85&lt;=AB$4+6,$J85&gt;=AB$4),IF(OR($C85="Milestone",$C85="Gate"),"◆","■"),"")</x:f>
      </x:c>
      <x:c r="AC85" s="37" t="str">
        <x:f>IF(AND($I85&lt;=AC$4+6,$J85&gt;=AC$4),IF(OR($C85="Milestone",$C85="Gate"),"◆","■"),"")</x:f>
      </x:c>
    </x:row>
    <x:row r="86" ht="34" customHeight="1">
      <x:c r="A86" s="24" t="str">
        <x:v>T07</x:v>
      </x:c>
      <x:c r="B86" s="24" t="str">
        <x:v>Formal Testing</x:v>
      </x:c>
      <x:c r="C86" s="24" t="str">
        <x:f t="shared" si="75"/>
        <x:v>Task</x:v>
      </x:c>
      <x:c r="D86" s="24" t="str">
        <x:f t="shared" si="76"/>
        <x:v>Content/admin fixes</x:v>
      </x:c>
      <x:c r="E86" s="24" t="str">
        <x:f t="shared" si="77"/>
        <x:v>Resolve data, advisory and moderation defects</x:v>
      </x:c>
      <x:c r="F86" s="24" t="str">
        <x:v>Shahriar Islam</x:v>
      </x:c>
      <x:c r="G86" s="24" t="str">
        <x:v>Irfan</x:v>
      </x:c>
      <x:c r="H86" s="25" t="n">
        <x:v>5</x:v>
      </x:c>
      <x:c r="I86" s="26" t="n">
        <x:v>46393</x:v>
      </x:c>
      <x:c r="J86" s="26" t="n">
        <x:v>46397</x:v>
      </x:c>
      <x:c r="K86" s="24" t="str">
        <x:v>T03,T04</x:v>
      </x:c>
      <x:c r="L86" s="24" t="str">
        <x:v>Not started</x:v>
      </x:c>
      <x:c r="M86" s="24" t="str">
        <x:v>Source/freshness/admin defects retested</x:v>
      </x:c>
      <x:c r="N86" s="24" t="str">
        <x:v>All changes documented</x:v>
      </x:c>
      <x:c r="O86" s="38" t="str">
        <x:f>IF(AND($I86&lt;=O$4+6,$J86&gt;=O$4),IF(OR($C86="Milestone",$C86="Gate"),"◆","■"),"")</x:f>
      </x:c>
      <x:c r="P86" s="38" t="str">
        <x:f>IF(AND($I86&lt;=P$4+6,$J86&gt;=P$4),IF(OR($C86="Milestone",$C86="Gate"),"◆","■"),"")</x:f>
      </x:c>
      <x:c r="Q86" s="38" t="str">
        <x:f>IF(AND($I86&lt;=Q$4+6,$J86&gt;=Q$4),IF(OR($C86="Milestone",$C86="Gate"),"◆","■"),"")</x:f>
      </x:c>
      <x:c r="R86" s="38" t="str">
        <x:f>IF(AND($I86&lt;=R$4+6,$J86&gt;=R$4),IF(OR($C86="Milestone",$C86="Gate"),"◆","■"),"")</x:f>
      </x:c>
      <x:c r="S86" s="38" t="str">
        <x:f>IF(AND($I86&lt;=S$4+6,$J86&gt;=S$4),IF(OR($C86="Milestone",$C86="Gate"),"◆","■"),"")</x:f>
      </x:c>
      <x:c r="T86" s="38" t="str">
        <x:f>IF(AND($I86&lt;=T$4+6,$J86&gt;=T$4),IF(OR($C86="Milestone",$C86="Gate"),"◆","■"),"")</x:f>
      </x:c>
      <x:c r="U86" s="38" t="str">
        <x:f>IF(AND($I86&lt;=U$4+6,$J86&gt;=U$4),IF(OR($C86="Milestone",$C86="Gate"),"◆","■"),"")</x:f>
      </x:c>
      <x:c r="V86" s="38" t="str">
        <x:f>IF(AND($I86&lt;=V$4+6,$J86&gt;=V$4),IF(OR($C86="Milestone",$C86="Gate"),"◆","■"),"")</x:f>
      </x:c>
      <x:c r="W86" s="38" t="str">
        <x:f>IF(AND($I86&lt;=W$4+6,$J86&gt;=W$4),IF(OR($C86="Milestone",$C86="Gate"),"◆","■"),"")</x:f>
      </x:c>
      <x:c r="X86" s="38" t="str">
        <x:f>IF(AND($I86&lt;=X$4+6,$J86&gt;=X$4),IF(OR($C86="Milestone",$C86="Gate"),"◆","■"),"")</x:f>
      </x:c>
      <x:c r="Y86" s="38" t="str">
        <x:f>IF(AND($I86&lt;=Y$4+6,$J86&gt;=Y$4),IF(OR($C86="Milestone",$C86="Gate"),"◆","■"),"")</x:f>
      </x:c>
      <x:c r="Z86" s="38" t="str">
        <x:f>IF(AND($I86&lt;=Z$4+6,$J86&gt;=Z$4),IF(OR($C86="Milestone",$C86="Gate"),"◆","■"),"")</x:f>
      </x:c>
      <x:c r="AA86" s="38" t="str">
        <x:f>IF(AND($I86&lt;=AA$4+6,$J86&gt;=AA$4),IF(OR($C86="Milestone",$C86="Gate"),"◆","■"),"")</x:f>
        <x:v>■</x:v>
      </x:c>
      <x:c r="AB86" s="38" t="str">
        <x:f>IF(AND($I86&lt;=AB$4+6,$J86&gt;=AB$4),IF(OR($C86="Milestone",$C86="Gate"),"◆","■"),"")</x:f>
      </x:c>
      <x:c r="AC86" s="38" t="str">
        <x:f>IF(AND($I86&lt;=AC$4+6,$J86&gt;=AC$4),IF(OR($C86="Milestone",$C86="Gate"),"◆","■"),"")</x:f>
      </x:c>
    </x:row>
    <x:row r="87" ht="34" customHeight="1">
      <x:c r="A87" s="24" t="str">
        <x:v>T08</x:v>
      </x:c>
      <x:c r="B87" s="24" t="str">
        <x:v>Formal Testing</x:v>
      </x:c>
      <x:c r="C87" s="24" t="str">
        <x:v>Task</x:v>
      </x:c>
      <x:c r="D87" s="24" t="str">
        <x:v>Regression QA</x:v>
      </x:c>
      <x:c r="E87" s="24" t="str">
        <x:v>Retest fixes and run affected-flow regression</x:v>
      </x:c>
      <x:c r="F87" s="24" t="str">
        <x:v>Md. Irfan Iqbal</x:v>
      </x:c>
      <x:c r="G87" s="24" t="str">
        <x:v>All</x:v>
      </x:c>
      <x:c r="H87" s="25" t="n">
        <x:v>6</x:v>
      </x:c>
      <x:c r="I87" s="26" t="n">
        <x:v>46395</x:v>
      </x:c>
      <x:c r="J87" s="26" t="n">
        <x:v>46398</x:v>
      </x:c>
      <x:c r="K87" s="24" t="str">
        <x:v>T05,T06,T07</x:v>
      </x:c>
      <x:c r="L87" s="24" t="str">
        <x:v>Not started</x:v>
      </x:c>
      <x:c r="M87" s="24" t="str">
        <x:v>No blocker or critical defect in any mandatory release flow</x:v>
      </x:c>
      <x:c r="N87" s="24" t="str">
        <x:v>Lower severity documented</x:v>
      </x:c>
      <x:c r="O87" s="37" t="str">
        <x:f>IF(AND($I87&lt;=O$4+6,$J87&gt;=O$4),IF(OR($C87="Milestone",$C87="Gate"),"◆","■"),"")</x:f>
      </x:c>
      <x:c r="P87" s="37" t="str">
        <x:f>IF(AND($I87&lt;=P$4+6,$J87&gt;=P$4),IF(OR($C87="Milestone",$C87="Gate"),"◆","■"),"")</x:f>
      </x:c>
      <x:c r="Q87" s="37" t="str">
        <x:f>IF(AND($I87&lt;=Q$4+6,$J87&gt;=Q$4),IF(OR($C87="Milestone",$C87="Gate"),"◆","■"),"")</x:f>
      </x:c>
      <x:c r="R87" s="37" t="str">
        <x:f>IF(AND($I87&lt;=R$4+6,$J87&gt;=R$4),IF(OR($C87="Milestone",$C87="Gate"),"◆","■"),"")</x:f>
      </x:c>
      <x:c r="S87" s="37" t="str">
        <x:f>IF(AND($I87&lt;=S$4+6,$J87&gt;=S$4),IF(OR($C87="Milestone",$C87="Gate"),"◆","■"),"")</x:f>
      </x:c>
      <x:c r="T87" s="37" t="str">
        <x:f>IF(AND($I87&lt;=T$4+6,$J87&gt;=T$4),IF(OR($C87="Milestone",$C87="Gate"),"◆","■"),"")</x:f>
      </x:c>
      <x:c r="U87" s="37" t="str">
        <x:f>IF(AND($I87&lt;=U$4+6,$J87&gt;=U$4),IF(OR($C87="Milestone",$C87="Gate"),"◆","■"),"")</x:f>
      </x:c>
      <x:c r="V87" s="37" t="str">
        <x:f>IF(AND($I87&lt;=V$4+6,$J87&gt;=V$4),IF(OR($C87="Milestone",$C87="Gate"),"◆","■"),"")</x:f>
      </x:c>
      <x:c r="W87" s="37" t="str">
        <x:f>IF(AND($I87&lt;=W$4+6,$J87&gt;=W$4),IF(OR($C87="Milestone",$C87="Gate"),"◆","■"),"")</x:f>
      </x:c>
      <x:c r="X87" s="37" t="str">
        <x:f>IF(AND($I87&lt;=X$4+6,$J87&gt;=X$4),IF(OR($C87="Milestone",$C87="Gate"),"◆","■"),"")</x:f>
      </x:c>
      <x:c r="Y87" s="37" t="str">
        <x:f>IF(AND($I87&lt;=Y$4+6,$J87&gt;=Y$4),IF(OR($C87="Milestone",$C87="Gate"),"◆","■"),"")</x:f>
      </x:c>
      <x:c r="Z87" s="37" t="str">
        <x:f>IF(AND($I87&lt;=Z$4+6,$J87&gt;=Z$4),IF(OR($C87="Milestone",$C87="Gate"),"◆","■"),"")</x:f>
      </x:c>
      <x:c r="AA87" s="37" t="str">
        <x:f>IF(AND($I87&lt;=AA$4+6,$J87&gt;=AA$4),IF(OR($C87="Milestone",$C87="Gate"),"◆","■"),"")</x:f>
        <x:v>■</x:v>
      </x:c>
      <x:c r="AB87" s="37" t="str">
        <x:f>IF(AND($I87&lt;=AB$4+6,$J87&gt;=AB$4),IF(OR($C87="Milestone",$C87="Gate"),"◆","■"),"")</x:f>
        <x:v>■</x:v>
      </x:c>
      <x:c r="AC87" s="37" t="str">
        <x:f>IF(AND($I87&lt;=AC$4+6,$J87&gt;=AC$4),IF(OR($C87="Milestone",$C87="Gate"),"◆","■"),"")</x:f>
      </x:c>
    </x:row>
    <x:row r="88" ht="34" customHeight="1">
      <x:c r="A88" s="24" t="str">
        <x:v>T09</x:v>
      </x:c>
      <x:c r="B88" s="24" t="str">
        <x:v>Formal Testing</x:v>
      </x:c>
      <x:c r="C88" s="24" t="str">
        <x:v>Task</x:v>
      </x:c>
      <x:c r="D88" s="24" t="str">
        <x:v>Exit QA</x:v>
      </x:c>
      <x:c r="E88" s="24" t="str">
        <x:v>Complete SQA summary and exit recommendation</x:v>
      </x:c>
      <x:c r="F88" s="24" t="str">
        <x:v>Md. Irfan Iqbal</x:v>
      </x:c>
      <x:c r="G88" s="24" t="str">
        <x:v>Shahriar</x:v>
      </x:c>
      <x:c r="H88" s="25" t="n">
        <x:v>4</x:v>
      </x:c>
      <x:c r="I88" s="26" t="n">
        <x:v>46398</x:v>
      </x:c>
      <x:c r="J88" s="26" t="n">
        <x:v>46398</x:v>
      </x:c>
      <x:c r="K88" s="24" t="str">
        <x:v>T08</x:v>
      </x:c>
      <x:c r="L88" s="24" t="str">
        <x:v>Not started</x:v>
      </x:c>
      <x:c r="M88" s="24" t="str">
        <x:v>Coverage, defects and residual risks reported</x:v>
      </x:c>
      <x:c r="N88" s="24" t="str">
        <x:v>Formal testing ends 11 Jan</x:v>
      </x:c>
      <x:c r="O88" s="38" t="str">
        <x:f>IF(AND($I88&lt;=O$4+6,$J88&gt;=O$4),IF(OR($C88="Milestone",$C88="Gate"),"◆","■"),"")</x:f>
      </x:c>
      <x:c r="P88" s="38" t="str">
        <x:f>IF(AND($I88&lt;=P$4+6,$J88&gt;=P$4),IF(OR($C88="Milestone",$C88="Gate"),"◆","■"),"")</x:f>
      </x:c>
      <x:c r="Q88" s="38" t="str">
        <x:f>IF(AND($I88&lt;=Q$4+6,$J88&gt;=Q$4),IF(OR($C88="Milestone",$C88="Gate"),"◆","■"),"")</x:f>
      </x:c>
      <x:c r="R88" s="38" t="str">
        <x:f>IF(AND($I88&lt;=R$4+6,$J88&gt;=R$4),IF(OR($C88="Milestone",$C88="Gate"),"◆","■"),"")</x:f>
      </x:c>
      <x:c r="S88" s="38" t="str">
        <x:f>IF(AND($I88&lt;=S$4+6,$J88&gt;=S$4),IF(OR($C88="Milestone",$C88="Gate"),"◆","■"),"")</x:f>
      </x:c>
      <x:c r="T88" s="38" t="str">
        <x:f>IF(AND($I88&lt;=T$4+6,$J88&gt;=T$4),IF(OR($C88="Milestone",$C88="Gate"),"◆","■"),"")</x:f>
      </x:c>
      <x:c r="U88" s="38" t="str">
        <x:f>IF(AND($I88&lt;=U$4+6,$J88&gt;=U$4),IF(OR($C88="Milestone",$C88="Gate"),"◆","■"),"")</x:f>
      </x:c>
      <x:c r="V88" s="38" t="str">
        <x:f>IF(AND($I88&lt;=V$4+6,$J88&gt;=V$4),IF(OR($C88="Milestone",$C88="Gate"),"◆","■"),"")</x:f>
      </x:c>
      <x:c r="W88" s="38" t="str">
        <x:f>IF(AND($I88&lt;=W$4+6,$J88&gt;=W$4),IF(OR($C88="Milestone",$C88="Gate"),"◆","■"),"")</x:f>
      </x:c>
      <x:c r="X88" s="38" t="str">
        <x:f>IF(AND($I88&lt;=X$4+6,$J88&gt;=X$4),IF(OR($C88="Milestone",$C88="Gate"),"◆","■"),"")</x:f>
      </x:c>
      <x:c r="Y88" s="38" t="str">
        <x:f>IF(AND($I88&lt;=Y$4+6,$J88&gt;=Y$4),IF(OR($C88="Milestone",$C88="Gate"),"◆","■"),"")</x:f>
      </x:c>
      <x:c r="Z88" s="38" t="str">
        <x:f>IF(AND($I88&lt;=Z$4+6,$J88&gt;=Z$4),IF(OR($C88="Milestone",$C88="Gate"),"◆","■"),"")</x:f>
      </x:c>
      <x:c r="AA88" s="38" t="str">
        <x:f>IF(AND($I88&lt;=AA$4+6,$J88&gt;=AA$4),IF(OR($C88="Milestone",$C88="Gate"),"◆","■"),"")</x:f>
      </x:c>
      <x:c r="AB88" s="38" t="str">
        <x:f>IF(AND($I88&lt;=AB$4+6,$J88&gt;=AB$4),IF(OR($C88="Milestone",$C88="Gate"),"◆","■"),"")</x:f>
        <x:v>■</x:v>
      </x:c>
      <x:c r="AC88" s="38" t="str">
        <x:f>IF(AND($I88&lt;=AC$4+6,$J88&gt;=AC$4),IF(OR($C88="Milestone",$C88="Gate"),"◆","■"),"")</x:f>
      </x:c>
    </x:row>
    <x:row r="89" ht="34" customHeight="1">
      <x:c r="A89" s="34" t="str">
        <x:v>M3</x:v>
      </x:c>
      <x:c r="B89" s="34" t="str">
        <x:v>Formal Testing</x:v>
      </x:c>
      <x:c r="C89" s="34" t="str">
        <x:v>Milestone</x:v>
      </x:c>
      <x:c r="D89" s="34" t="str">
        <x:v>Gate</x:v>
      </x:c>
      <x:c r="E89" s="34" t="str">
        <x:v>Formal testing completed</x:v>
      </x:c>
      <x:c r="F89" s="34" t="str">
        <x:v>Md. Irfan Iqbal</x:v>
      </x:c>
      <x:c r="G89" s="34" t="str">
        <x:v>All</x:v>
      </x:c>
      <x:c r="H89" s="35" t="n">
        <x:v>1</x:v>
      </x:c>
      <x:c r="I89" s="36" t="n">
        <x:v>46398</x:v>
      </x:c>
      <x:c r="J89" s="36" t="n">
        <x:v>46398</x:v>
      </x:c>
      <x:c r="K89" s="34" t="str">
        <x:v>T09</x:v>
      </x:c>
      <x:c r="L89" s="34" t="str">
        <x:v>Not started</x:v>
      </x:c>
      <x:c r="M89" s="34" t="str">
        <x:v>Exit criteria approved</x:v>
      </x:c>
      <x:c r="N89" s="34" t="str">
        <x:v>Fixed milestone</x:v>
      </x:c>
      <x:c r="O89" s="39" t="str">
        <x:f>IF(AND($I89&lt;=O$4+6,$J89&gt;=O$4),IF(OR($C89="Milestone",$C89="Gate"),"◆","■"),"")</x:f>
      </x:c>
      <x:c r="P89" s="39" t="str">
        <x:f>IF(AND($I89&lt;=P$4+6,$J89&gt;=P$4),IF(OR($C89="Milestone",$C89="Gate"),"◆","■"),"")</x:f>
      </x:c>
      <x:c r="Q89" s="39" t="str">
        <x:f>IF(AND($I89&lt;=Q$4+6,$J89&gt;=Q$4),IF(OR($C89="Milestone",$C89="Gate"),"◆","■"),"")</x:f>
      </x:c>
      <x:c r="R89" s="39" t="str">
        <x:f>IF(AND($I89&lt;=R$4+6,$J89&gt;=R$4),IF(OR($C89="Milestone",$C89="Gate"),"◆","■"),"")</x:f>
      </x:c>
      <x:c r="S89" s="39" t="str">
        <x:f>IF(AND($I89&lt;=S$4+6,$J89&gt;=S$4),IF(OR($C89="Milestone",$C89="Gate"),"◆","■"),"")</x:f>
      </x:c>
      <x:c r="T89" s="39" t="str">
        <x:f>IF(AND($I89&lt;=T$4+6,$J89&gt;=T$4),IF(OR($C89="Milestone",$C89="Gate"),"◆","■"),"")</x:f>
      </x:c>
      <x:c r="U89" s="39" t="str">
        <x:f>IF(AND($I89&lt;=U$4+6,$J89&gt;=U$4),IF(OR($C89="Milestone",$C89="Gate"),"◆","■"),"")</x:f>
      </x:c>
      <x:c r="V89" s="39" t="str">
        <x:f>IF(AND($I89&lt;=V$4+6,$J89&gt;=V$4),IF(OR($C89="Milestone",$C89="Gate"),"◆","■"),"")</x:f>
      </x:c>
      <x:c r="W89" s="39" t="str">
        <x:f>IF(AND($I89&lt;=W$4+6,$J89&gt;=W$4),IF(OR($C89="Milestone",$C89="Gate"),"◆","■"),"")</x:f>
      </x:c>
      <x:c r="X89" s="39" t="str">
        <x:f>IF(AND($I89&lt;=X$4+6,$J89&gt;=X$4),IF(OR($C89="Milestone",$C89="Gate"),"◆","■"),"")</x:f>
      </x:c>
      <x:c r="Y89" s="39" t="str">
        <x:f>IF(AND($I89&lt;=Y$4+6,$J89&gt;=Y$4),IF(OR($C89="Milestone",$C89="Gate"),"◆","■"),"")</x:f>
      </x:c>
      <x:c r="Z89" s="39" t="str">
        <x:f>IF(AND($I89&lt;=Z$4+6,$J89&gt;=Z$4),IF(OR($C89="Milestone",$C89="Gate"),"◆","■"),"")</x:f>
      </x:c>
      <x:c r="AA89" s="39" t="str">
        <x:f>IF(AND($I89&lt;=AA$4+6,$J89&gt;=AA$4),IF(OR($C89="Milestone",$C89="Gate"),"◆","■"),"")</x:f>
      </x:c>
      <x:c r="AB89" s="39" t="str">
        <x:f>IF(AND($I89&lt;=AB$4+6,$J89&gt;=AB$4),IF(OR($C89="Milestone",$C89="Gate"),"◆","■"),"")</x:f>
        <x:v>◆</x:v>
      </x:c>
      <x:c r="AC89" s="39" t="str">
        <x:f>IF(AND($I89&lt;=AC$4+6,$J89&gt;=AC$4),IF(OR($C89="Milestone",$C89="Gate"),"◆","■"),"")</x:f>
      </x:c>
    </x:row>
    <x:row r="90" ht="34" customHeight="1">
      <x:c r="A90" s="24" t="str">
        <x:v>C01</x:v>
      </x:c>
      <x:c r="B90" s="24" t="str">
        <x:v>Completion</x:v>
      </x:c>
      <x:c r="C90" s="24" t="str">
        <x:v>Task</x:v>
      </x:c>
      <x:c r="D90" s="24" t="str">
        <x:v>Frontend release</x:v>
      </x:c>
      <x:c r="E90" s="24" t="str">
        <x:v>Close approved frontend defects across all mandatory modules and freeze client</x:v>
      </x:c>
      <x:c r="F90" s="24" t="str">
        <x:v>Abdullah Bin Sorwar Choudhury</x:v>
      </x:c>
      <x:c r="G90" s="24" t="str">
        <x:v>Irfan</x:v>
      </x:c>
      <x:c r="H90" s="25" t="n">
        <x:v>5</x:v>
      </x:c>
      <x:c r="I90" s="26" t="n">
        <x:v>46399</x:v>
      </x:c>
      <x:c r="J90" s="26" t="n">
        <x:v>46402</x:v>
      </x:c>
      <x:c r="K90" s="24" t="str">
        <x:v>M3</x:v>
      </x:c>
      <x:c r="L90" s="24" t="str">
        <x:v>Not started</x:v>
      </x:c>
      <x:c r="M90" s="24" t="str">
        <x:v>Release candidate has no open blocker</x:v>
      </x:c>
      <x:c r="N90" s="24" t="str">
        <x:v>Only approved fixes</x:v>
      </x:c>
      <x:c r="O90" s="38" t="str">
        <x:f>IF(AND($I90&lt;=O$4+6,$J90&gt;=O$4),IF(OR($C90="Milestone",$C90="Gate"),"◆","■"),"")</x:f>
      </x:c>
      <x:c r="P90" s="38" t="str">
        <x:f>IF(AND($I90&lt;=P$4+6,$J90&gt;=P$4),IF(OR($C90="Milestone",$C90="Gate"),"◆","■"),"")</x:f>
      </x:c>
      <x:c r="Q90" s="38" t="str">
        <x:f>IF(AND($I90&lt;=Q$4+6,$J90&gt;=Q$4),IF(OR($C90="Milestone",$C90="Gate"),"◆","■"),"")</x:f>
      </x:c>
      <x:c r="R90" s="38" t="str">
        <x:f>IF(AND($I90&lt;=R$4+6,$J90&gt;=R$4),IF(OR($C90="Milestone",$C90="Gate"),"◆","■"),"")</x:f>
      </x:c>
      <x:c r="S90" s="38" t="str">
        <x:f>IF(AND($I90&lt;=S$4+6,$J90&gt;=S$4),IF(OR($C90="Milestone",$C90="Gate"),"◆","■"),"")</x:f>
      </x:c>
      <x:c r="T90" s="38" t="str">
        <x:f>IF(AND($I90&lt;=T$4+6,$J90&gt;=T$4),IF(OR($C90="Milestone",$C90="Gate"),"◆","■"),"")</x:f>
      </x:c>
      <x:c r="U90" s="38" t="str">
        <x:f>IF(AND($I90&lt;=U$4+6,$J90&gt;=U$4),IF(OR($C90="Milestone",$C90="Gate"),"◆","■"),"")</x:f>
      </x:c>
      <x:c r="V90" s="38" t="str">
        <x:f>IF(AND($I90&lt;=V$4+6,$J90&gt;=V$4),IF(OR($C90="Milestone",$C90="Gate"),"◆","■"),"")</x:f>
      </x:c>
      <x:c r="W90" s="38" t="str">
        <x:f>IF(AND($I90&lt;=W$4+6,$J90&gt;=W$4),IF(OR($C90="Milestone",$C90="Gate"),"◆","■"),"")</x:f>
      </x:c>
      <x:c r="X90" s="38" t="str">
        <x:f>IF(AND($I90&lt;=X$4+6,$J90&gt;=X$4),IF(OR($C90="Milestone",$C90="Gate"),"◆","■"),"")</x:f>
      </x:c>
      <x:c r="Y90" s="38" t="str">
        <x:f>IF(AND($I90&lt;=Y$4+6,$J90&gt;=Y$4),IF(OR($C90="Milestone",$C90="Gate"),"◆","■"),"")</x:f>
      </x:c>
      <x:c r="Z90" s="38" t="str">
        <x:f>IF(AND($I90&lt;=Z$4+6,$J90&gt;=Z$4),IF(OR($C90="Milestone",$C90="Gate"),"◆","■"),"")</x:f>
      </x:c>
      <x:c r="AA90" s="38" t="str">
        <x:f>IF(AND($I90&lt;=AA$4+6,$J90&gt;=AA$4),IF(OR($C90="Milestone",$C90="Gate"),"◆","■"),"")</x:f>
      </x:c>
      <x:c r="AB90" s="38" t="str">
        <x:f>IF(AND($I90&lt;=AB$4+6,$J90&gt;=AB$4),IF(OR($C90="Milestone",$C90="Gate"),"◆","■"),"")</x:f>
        <x:v>■</x:v>
      </x:c>
      <x:c r="AC90" s="38" t="str">
        <x:f>IF(AND($I90&lt;=AC$4+6,$J90&gt;=AC$4),IF(OR($C90="Milestone",$C90="Gate"),"◆","■"),"")</x:f>
      </x:c>
    </x:row>
    <x:row r="91" ht="34" customHeight="1">
      <x:c r="A91" s="24" t="str">
        <x:v>C02</x:v>
      </x:c>
      <x:c r="B91" s="24" t="str">
        <x:v>Completion</x:v>
      </x:c>
      <x:c r="C91" s="24" t="str">
        <x:v>Task</x:v>
      </x:c>
      <x:c r="D91" s="24" t="str">
        <x:v>Backend release</x:v>
      </x:c>
      <x:c r="E91" s="24" t="str">
        <x:v>Close approved backend defects across all mandatory modules and freeze services</x:v>
      </x:c>
      <x:c r="F91" s="24" t="str">
        <x:v>Syed Muhtasim Alam</x:v>
      </x:c>
      <x:c r="G91" s="24" t="str">
        <x:v>Irfan</x:v>
      </x:c>
      <x:c r="H91" s="25" t="n">
        <x:v>5</x:v>
      </x:c>
      <x:c r="I91" s="26" t="n">
        <x:v>46399</x:v>
      </x:c>
      <x:c r="J91" s="26" t="n">
        <x:v>46402</x:v>
      </x:c>
      <x:c r="K91" s="24" t="str">
        <x:v>M3</x:v>
      </x:c>
      <x:c r="L91" s="24" t="str">
        <x:v>Not started</x:v>
      </x:c>
      <x:c r="M91" s="24" t="str">
        <x:v>Migration/deployment/recovery verified</x:v>
      </x:c>
      <x:c r="N91" s="24" t="str">
        <x:v>Only approved fixes</x:v>
      </x:c>
      <x:c r="O91" s="37" t="str">
        <x:f>IF(AND($I91&lt;=O$4+6,$J91&gt;=O$4),IF(OR($C91="Milestone",$C91="Gate"),"◆","■"),"")</x:f>
      </x:c>
      <x:c r="P91" s="37" t="str">
        <x:f>IF(AND($I91&lt;=P$4+6,$J91&gt;=P$4),IF(OR($C91="Milestone",$C91="Gate"),"◆","■"),"")</x:f>
      </x:c>
      <x:c r="Q91" s="37" t="str">
        <x:f>IF(AND($I91&lt;=Q$4+6,$J91&gt;=Q$4),IF(OR($C91="Milestone",$C91="Gate"),"◆","■"),"")</x:f>
      </x:c>
      <x:c r="R91" s="37" t="str">
        <x:f>IF(AND($I91&lt;=R$4+6,$J91&gt;=R$4),IF(OR($C91="Milestone",$C91="Gate"),"◆","■"),"")</x:f>
      </x:c>
      <x:c r="S91" s="37" t="str">
        <x:f>IF(AND($I91&lt;=S$4+6,$J91&gt;=S$4),IF(OR($C91="Milestone",$C91="Gate"),"◆","■"),"")</x:f>
      </x:c>
      <x:c r="T91" s="37" t="str">
        <x:f>IF(AND($I91&lt;=T$4+6,$J91&gt;=T$4),IF(OR($C91="Milestone",$C91="Gate"),"◆","■"),"")</x:f>
      </x:c>
      <x:c r="U91" s="37" t="str">
        <x:f>IF(AND($I91&lt;=U$4+6,$J91&gt;=U$4),IF(OR($C91="Milestone",$C91="Gate"),"◆","■"),"")</x:f>
      </x:c>
      <x:c r="V91" s="37" t="str">
        <x:f>IF(AND($I91&lt;=V$4+6,$J91&gt;=V$4),IF(OR($C91="Milestone",$C91="Gate"),"◆","■"),"")</x:f>
      </x:c>
      <x:c r="W91" s="37" t="str">
        <x:f>IF(AND($I91&lt;=W$4+6,$J91&gt;=W$4),IF(OR($C91="Milestone",$C91="Gate"),"◆","■"),"")</x:f>
      </x:c>
      <x:c r="X91" s="37" t="str">
        <x:f>IF(AND($I91&lt;=X$4+6,$J91&gt;=X$4),IF(OR($C91="Milestone",$C91="Gate"),"◆","■"),"")</x:f>
      </x:c>
      <x:c r="Y91" s="37" t="str">
        <x:f>IF(AND($I91&lt;=Y$4+6,$J91&gt;=Y$4),IF(OR($C91="Milestone",$C91="Gate"),"◆","■"),"")</x:f>
      </x:c>
      <x:c r="Z91" s="37" t="str">
        <x:f>IF(AND($I91&lt;=Z$4+6,$J91&gt;=Z$4),IF(OR($C91="Milestone",$C91="Gate"),"◆","■"),"")</x:f>
      </x:c>
      <x:c r="AA91" s="37" t="str">
        <x:f>IF(AND($I91&lt;=AA$4+6,$J91&gt;=AA$4),IF(OR($C91="Milestone",$C91="Gate"),"◆","■"),"")</x:f>
      </x:c>
      <x:c r="AB91" s="37" t="str">
        <x:f>IF(AND($I91&lt;=AB$4+6,$J91&gt;=AB$4),IF(OR($C91="Milestone",$C91="Gate"),"◆","■"),"")</x:f>
        <x:v>■</x:v>
      </x:c>
      <x:c r="AC91" s="37" t="str">
        <x:f>IF(AND($I91&lt;=AC$4+6,$J91&gt;=AC$4),IF(OR($C91="Milestone",$C91="Gate"),"◆","■"),"")</x:f>
      </x:c>
    </x:row>
    <x:row r="92" ht="34" customHeight="1">
      <x:c r="A92" s="24" t="str">
        <x:v>C03</x:v>
      </x:c>
      <x:c r="B92" s="24" t="str">
        <x:v>Completion</x:v>
      </x:c>
      <x:c r="C92" s="24" t="str">
        <x:v>Task</x:v>
      </x:c>
      <x:c r="D92" s="24" t="str">
        <x:v>Content release</x:v>
      </x:c>
      <x:c r="E92" s="24" t="str">
        <x:v>Freeze destination, price and advisory content</x:v>
      </x:c>
      <x:c r="F92" s="24" t="str">
        <x:v>Shahriar Islam</x:v>
      </x:c>
      <x:c r="G92" s="24" t="str">
        <x:v>Irfan</x:v>
      </x:c>
      <x:c r="H92" s="25" t="n">
        <x:v>4</x:v>
      </x:c>
      <x:c r="I92" s="26" t="n">
        <x:v>46399</x:v>
      </x:c>
      <x:c r="J92" s="26" t="n">
        <x:v>46402</x:v>
      </x:c>
      <x:c r="K92" s="24" t="str">
        <x:v>M3</x:v>
      </x:c>
      <x:c r="L92" s="24" t="str">
        <x:v>Not started</x:v>
      </x:c>
      <x:c r="M92" s="24" t="str">
        <x:v>Sources and last-updated dates complete</x:v>
      </x:c>
      <x:c r="N92" s="24" t="str">
        <x:v>Expired items excluded</x:v>
      </x:c>
      <x:c r="O92" s="38" t="str">
        <x:f>IF(AND($I92&lt;=O$4+6,$J92&gt;=O$4),IF(OR($C92="Milestone",$C92="Gate"),"◆","■"),"")</x:f>
      </x:c>
      <x:c r="P92" s="38" t="str">
        <x:f>IF(AND($I92&lt;=P$4+6,$J92&gt;=P$4),IF(OR($C92="Milestone",$C92="Gate"),"◆","■"),"")</x:f>
      </x:c>
      <x:c r="Q92" s="38" t="str">
        <x:f>IF(AND($I92&lt;=Q$4+6,$J92&gt;=Q$4),IF(OR($C92="Milestone",$C92="Gate"),"◆","■"),"")</x:f>
      </x:c>
      <x:c r="R92" s="38" t="str">
        <x:f>IF(AND($I92&lt;=R$4+6,$J92&gt;=R$4),IF(OR($C92="Milestone",$C92="Gate"),"◆","■"),"")</x:f>
      </x:c>
      <x:c r="S92" s="38" t="str">
        <x:f>IF(AND($I92&lt;=S$4+6,$J92&gt;=S$4),IF(OR($C92="Milestone",$C92="Gate"),"◆","■"),"")</x:f>
      </x:c>
      <x:c r="T92" s="38" t="str">
        <x:f>IF(AND($I92&lt;=T$4+6,$J92&gt;=T$4),IF(OR($C92="Milestone",$C92="Gate"),"◆","■"),"")</x:f>
      </x:c>
      <x:c r="U92" s="38" t="str">
        <x:f>IF(AND($I92&lt;=U$4+6,$J92&gt;=U$4),IF(OR($C92="Milestone",$C92="Gate"),"◆","■"),"")</x:f>
      </x:c>
      <x:c r="V92" s="38" t="str">
        <x:f>IF(AND($I92&lt;=V$4+6,$J92&gt;=V$4),IF(OR($C92="Milestone",$C92="Gate"),"◆","■"),"")</x:f>
      </x:c>
      <x:c r="W92" s="38" t="str">
        <x:f>IF(AND($I92&lt;=W$4+6,$J92&gt;=W$4),IF(OR($C92="Milestone",$C92="Gate"),"◆","■"),"")</x:f>
      </x:c>
      <x:c r="X92" s="38" t="str">
        <x:f>IF(AND($I92&lt;=X$4+6,$J92&gt;=X$4),IF(OR($C92="Milestone",$C92="Gate"),"◆","■"),"")</x:f>
      </x:c>
      <x:c r="Y92" s="38" t="str">
        <x:f>IF(AND($I92&lt;=Y$4+6,$J92&gt;=Y$4),IF(OR($C92="Milestone",$C92="Gate"),"◆","■"),"")</x:f>
      </x:c>
      <x:c r="Z92" s="38" t="str">
        <x:f>IF(AND($I92&lt;=Z$4+6,$J92&gt;=Z$4),IF(OR($C92="Milestone",$C92="Gate"),"◆","■"),"")</x:f>
      </x:c>
      <x:c r="AA92" s="38" t="str">
        <x:f>IF(AND($I92&lt;=AA$4+6,$J92&gt;=AA$4),IF(OR($C92="Milestone",$C92="Gate"),"◆","■"),"")</x:f>
      </x:c>
      <x:c r="AB92" s="38" t="str">
        <x:f>IF(AND($I92&lt;=AB$4+6,$J92&gt;=AB$4),IF(OR($C92="Milestone",$C92="Gate"),"◆","■"),"")</x:f>
        <x:v>■</x:v>
      </x:c>
      <x:c r="AC92" s="38" t="str">
        <x:f>IF(AND($I92&lt;=AC$4+6,$J92&gt;=AC$4),IF(OR($C92="Milestone",$C92="Gate"),"◆","■"),"")</x:f>
      </x:c>
    </x:row>
    <x:row r="93" ht="34" customHeight="1">
      <x:c r="A93" s="24" t="str">
        <x:v>C04</x:v>
      </x:c>
      <x:c r="B93" s="24" t="str">
        <x:v>Completion</x:v>
      </x:c>
      <x:c r="C93" s="24" t="str">
        <x:v>Task</x:v>
      </x:c>
      <x:c r="D93" s="24" t="str">
        <x:v>Final QA</x:v>
      </x:c>
      <x:c r="E93" s="24" t="str">
        <x:v>Run release-candidate smoke test and verify evidence archive</x:v>
      </x:c>
      <x:c r="F93" s="24" t="str">
        <x:v>Md. Irfan Iqbal</x:v>
      </x:c>
      <x:c r="G93" s="24" t="str">
        <x:v>All</x:v>
      </x:c>
      <x:c r="H93" s="25" t="n">
        <x:v>5</x:v>
      </x:c>
      <x:c r="I93" s="26" t="n">
        <x:v>46402</x:v>
      </x:c>
      <x:c r="J93" s="26" t="n">
        <x:v>46403</x:v>
      </x:c>
      <x:c r="K93" s="24" t="str">
        <x:v>C01,C02,C03</x:v>
      </x:c>
      <x:c r="L93" s="24" t="str">
        <x:v>Not started</x:v>
      </x:c>
      <x:c r="M93" s="24" t="str">
        <x:v>Release candidate and evidence signed off</x:v>
      </x:c>
      <x:c r="N93" s="24" t="str">
        <x:v>Record residual risks</x:v>
      </x:c>
      <x:c r="O93" s="37" t="str">
        <x:f>IF(AND($I93&lt;=O$4+6,$J93&gt;=O$4),IF(OR($C93="Milestone",$C93="Gate"),"◆","■"),"")</x:f>
      </x:c>
      <x:c r="P93" s="37" t="str">
        <x:f>IF(AND($I93&lt;=P$4+6,$J93&gt;=P$4),IF(OR($C93="Milestone",$C93="Gate"),"◆","■"),"")</x:f>
      </x:c>
      <x:c r="Q93" s="37" t="str">
        <x:f>IF(AND($I93&lt;=Q$4+6,$J93&gt;=Q$4),IF(OR($C93="Milestone",$C93="Gate"),"◆","■"),"")</x:f>
      </x:c>
      <x:c r="R93" s="37" t="str">
        <x:f>IF(AND($I93&lt;=R$4+6,$J93&gt;=R$4),IF(OR($C93="Milestone",$C93="Gate"),"◆","■"),"")</x:f>
      </x:c>
      <x:c r="S93" s="37" t="str">
        <x:f>IF(AND($I93&lt;=S$4+6,$J93&gt;=S$4),IF(OR($C93="Milestone",$C93="Gate"),"◆","■"),"")</x:f>
      </x:c>
      <x:c r="T93" s="37" t="str">
        <x:f>IF(AND($I93&lt;=T$4+6,$J93&gt;=T$4),IF(OR($C93="Milestone",$C93="Gate"),"◆","■"),"")</x:f>
      </x:c>
      <x:c r="U93" s="37" t="str">
        <x:f>IF(AND($I93&lt;=U$4+6,$J93&gt;=U$4),IF(OR($C93="Milestone",$C93="Gate"),"◆","■"),"")</x:f>
      </x:c>
      <x:c r="V93" s="37" t="str">
        <x:f>IF(AND($I93&lt;=V$4+6,$J93&gt;=V$4),IF(OR($C93="Milestone",$C93="Gate"),"◆","■"),"")</x:f>
      </x:c>
      <x:c r="W93" s="37" t="str">
        <x:f>IF(AND($I93&lt;=W$4+6,$J93&gt;=W$4),IF(OR($C93="Milestone",$C93="Gate"),"◆","■"),"")</x:f>
      </x:c>
      <x:c r="X93" s="37" t="str">
        <x:f>IF(AND($I93&lt;=X$4+6,$J93&gt;=X$4),IF(OR($C93="Milestone",$C93="Gate"),"◆","■"),"")</x:f>
      </x:c>
      <x:c r="Y93" s="37" t="str">
        <x:f>IF(AND($I93&lt;=Y$4+6,$J93&gt;=Y$4),IF(OR($C93="Milestone",$C93="Gate"),"◆","■"),"")</x:f>
      </x:c>
      <x:c r="Z93" s="37" t="str">
        <x:f>IF(AND($I93&lt;=Z$4+6,$J93&gt;=Z$4),IF(OR($C93="Milestone",$C93="Gate"),"◆","■"),"")</x:f>
      </x:c>
      <x:c r="AA93" s="37" t="str">
        <x:f>IF(AND($I93&lt;=AA$4+6,$J93&gt;=AA$4),IF(OR($C93="Milestone",$C93="Gate"),"◆","■"),"")</x:f>
      </x:c>
      <x:c r="AB93" s="37" t="str">
        <x:f>IF(AND($I93&lt;=AB$4+6,$J93&gt;=AB$4),IF(OR($C93="Milestone",$C93="Gate"),"◆","■"),"")</x:f>
        <x:v>■</x:v>
      </x:c>
      <x:c r="AC93" s="37" t="str">
        <x:f>IF(AND($I93&lt;=AC$4+6,$J93&gt;=AC$4),IF(OR($C93="Milestone",$C93="Gate"),"◆","■"),"")</x:f>
      </x:c>
    </x:row>
    <x:row r="94" ht="34" customHeight="1">
      <x:c r="A94" s="24" t="str">
        <x:v>C05</x:v>
      </x:c>
      <x:c r="B94" s="24" t="str">
        <x:v>Completion</x:v>
      </x:c>
      <x:c r="C94" s="24" t="str">
        <x:v>Task</x:v>
      </x:c>
      <x:c r="D94" s="24" t="str">
        <x:v>Documentation</x:v>
      </x:c>
      <x:c r="E94" s="24" t="str">
        <x:v>Finalize report, setup guide, limitations and maintenance plan</x:v>
      </x:c>
      <x:c r="F94" s="24" t="str">
        <x:v>Shahriar Islam</x:v>
      </x:c>
      <x:c r="G94" s="24" t="str">
        <x:v>All</x:v>
      </x:c>
      <x:c r="H94" s="25" t="n">
        <x:v>5</x:v>
      </x:c>
      <x:c r="I94" s="26" t="n">
        <x:v>46399</x:v>
      </x:c>
      <x:c r="J94" s="26" t="n">
        <x:v>46403</x:v>
      </x:c>
      <x:c r="K94" s="24" t="str">
        <x:v>M3</x:v>
      </x:c>
      <x:c r="L94" s="24" t="str">
        <x:v>Not started</x:v>
      </x:c>
      <x:c r="M94" s="24" t="str">
        <x:v>Submission package is internally consistent</x:v>
      </x:c>
      <x:c r="N94" s="24" t="str">
        <x:v>Post-semester ownership named</x:v>
      </x:c>
      <x:c r="O94" s="38" t="str">
        <x:f>IF(AND($I94&lt;=O$4+6,$J94&gt;=O$4),IF(OR($C94="Milestone",$C94="Gate"),"◆","■"),"")</x:f>
      </x:c>
      <x:c r="P94" s="38" t="str">
        <x:f>IF(AND($I94&lt;=P$4+6,$J94&gt;=P$4),IF(OR($C94="Milestone",$C94="Gate"),"◆","■"),"")</x:f>
      </x:c>
      <x:c r="Q94" s="38" t="str">
        <x:f>IF(AND($I94&lt;=Q$4+6,$J94&gt;=Q$4),IF(OR($C94="Milestone",$C94="Gate"),"◆","■"),"")</x:f>
      </x:c>
      <x:c r="R94" s="38" t="str">
        <x:f>IF(AND($I94&lt;=R$4+6,$J94&gt;=R$4),IF(OR($C94="Milestone",$C94="Gate"),"◆","■"),"")</x:f>
      </x:c>
      <x:c r="S94" s="38" t="str">
        <x:f>IF(AND($I94&lt;=S$4+6,$J94&gt;=S$4),IF(OR($C94="Milestone",$C94="Gate"),"◆","■"),"")</x:f>
      </x:c>
      <x:c r="T94" s="38" t="str">
        <x:f>IF(AND($I94&lt;=T$4+6,$J94&gt;=T$4),IF(OR($C94="Milestone",$C94="Gate"),"◆","■"),"")</x:f>
      </x:c>
      <x:c r="U94" s="38" t="str">
        <x:f>IF(AND($I94&lt;=U$4+6,$J94&gt;=U$4),IF(OR($C94="Milestone",$C94="Gate"),"◆","■"),"")</x:f>
      </x:c>
      <x:c r="V94" s="38" t="str">
        <x:f>IF(AND($I94&lt;=V$4+6,$J94&gt;=V$4),IF(OR($C94="Milestone",$C94="Gate"),"◆","■"),"")</x:f>
      </x:c>
      <x:c r="W94" s="38" t="str">
        <x:f>IF(AND($I94&lt;=W$4+6,$J94&gt;=W$4),IF(OR($C94="Milestone",$C94="Gate"),"◆","■"),"")</x:f>
      </x:c>
      <x:c r="X94" s="38" t="str">
        <x:f>IF(AND($I94&lt;=X$4+6,$J94&gt;=X$4),IF(OR($C94="Milestone",$C94="Gate"),"◆","■"),"")</x:f>
      </x:c>
      <x:c r="Y94" s="38" t="str">
        <x:f>IF(AND($I94&lt;=Y$4+6,$J94&gt;=Y$4),IF(OR($C94="Milestone",$C94="Gate"),"◆","■"),"")</x:f>
      </x:c>
      <x:c r="Z94" s="38" t="str">
        <x:f>IF(AND($I94&lt;=Z$4+6,$J94&gt;=Z$4),IF(OR($C94="Milestone",$C94="Gate"),"◆","■"),"")</x:f>
      </x:c>
      <x:c r="AA94" s="38" t="str">
        <x:f>IF(AND($I94&lt;=AA$4+6,$J94&gt;=AA$4),IF(OR($C94="Milestone",$C94="Gate"),"◆","■"),"")</x:f>
      </x:c>
      <x:c r="AB94" s="38" t="str">
        <x:f>IF(AND($I94&lt;=AB$4+6,$J94&gt;=AB$4),IF(OR($C94="Milestone",$C94="Gate"),"◆","■"),"")</x:f>
        <x:v>■</x:v>
      </x:c>
      <x:c r="AC94" s="38" t="str">
        <x:f>IF(AND($I94&lt;=AC$4+6,$J94&gt;=AC$4),IF(OR($C94="Milestone",$C94="Gate"),"◆","■"),"")</x:f>
      </x:c>
    </x:row>
    <x:row r="95" ht="34" customHeight="1">
      <x:c r="A95" s="24" t="str">
        <x:v>C06</x:v>
      </x:c>
      <x:c r="B95" s="24" t="str">
        <x:v>Completion</x:v>
      </x:c>
      <x:c r="C95" s="24" t="str">
        <x:v>Task</x:v>
      </x:c>
      <x:c r="D95" s="24" t="str">
        <x:v>Demonstration</x:v>
      </x:c>
      <x:c r="E95" s="24" t="str">
        <x:v>Prepare and rehearse timed final demonstration</x:v>
      </x:c>
      <x:c r="F95" s="24" t="str">
        <x:v>Shahriar Islam</x:v>
      </x:c>
      <x:c r="G95" s="24" t="str">
        <x:v>All</x:v>
      </x:c>
      <x:c r="H95" s="25" t="n">
        <x:v>4</x:v>
      </x:c>
      <x:c r="I95" s="26" t="n">
        <x:v>46402</x:v>
      </x:c>
      <x:c r="J95" s="26" t="n">
        <x:v>46404</x:v>
      </x:c>
      <x:c r="K95" s="24" t="str">
        <x:v>C04,C05</x:v>
      </x:c>
      <x:c r="L95" s="24" t="str">
        <x:v>Not started</x:v>
      </x:c>
      <x:c r="M95" s="24" t="str">
        <x:v>Backup demo and recovery path tested</x:v>
      </x:c>
      <x:c r="N95" s="24" t="str">
        <x:v>Each member owns a segment</x:v>
      </x:c>
      <x:c r="O95" s="37" t="str">
        <x:f>IF(AND($I95&lt;=O$4+6,$J95&gt;=O$4),IF(OR($C95="Milestone",$C95="Gate"),"◆","■"),"")</x:f>
      </x:c>
      <x:c r="P95" s="37" t="str">
        <x:f>IF(AND($I95&lt;=P$4+6,$J95&gt;=P$4),IF(OR($C95="Milestone",$C95="Gate"),"◆","■"),"")</x:f>
      </x:c>
      <x:c r="Q95" s="37" t="str">
        <x:f>IF(AND($I95&lt;=Q$4+6,$J95&gt;=Q$4),IF(OR($C95="Milestone",$C95="Gate"),"◆","■"),"")</x:f>
      </x:c>
      <x:c r="R95" s="37" t="str">
        <x:f>IF(AND($I95&lt;=R$4+6,$J95&gt;=R$4),IF(OR($C95="Milestone",$C95="Gate"),"◆","■"),"")</x:f>
      </x:c>
      <x:c r="S95" s="37" t="str">
        <x:f>IF(AND($I95&lt;=S$4+6,$J95&gt;=S$4),IF(OR($C95="Milestone",$C95="Gate"),"◆","■"),"")</x:f>
      </x:c>
      <x:c r="T95" s="37" t="str">
        <x:f>IF(AND($I95&lt;=T$4+6,$J95&gt;=T$4),IF(OR($C95="Milestone",$C95="Gate"),"◆","■"),"")</x:f>
      </x:c>
      <x:c r="U95" s="37" t="str">
        <x:f>IF(AND($I95&lt;=U$4+6,$J95&gt;=U$4),IF(OR($C95="Milestone",$C95="Gate"),"◆","■"),"")</x:f>
      </x:c>
      <x:c r="V95" s="37" t="str">
        <x:f>IF(AND($I95&lt;=V$4+6,$J95&gt;=V$4),IF(OR($C95="Milestone",$C95="Gate"),"◆","■"),"")</x:f>
      </x:c>
      <x:c r="W95" s="37" t="str">
        <x:f>IF(AND($I95&lt;=W$4+6,$J95&gt;=W$4),IF(OR($C95="Milestone",$C95="Gate"),"◆","■"),"")</x:f>
      </x:c>
      <x:c r="X95" s="37" t="str">
        <x:f>IF(AND($I95&lt;=X$4+6,$J95&gt;=X$4),IF(OR($C95="Milestone",$C95="Gate"),"◆","■"),"")</x:f>
      </x:c>
      <x:c r="Y95" s="37" t="str">
        <x:f>IF(AND($I95&lt;=Y$4+6,$J95&gt;=Y$4),IF(OR($C95="Milestone",$C95="Gate"),"◆","■"),"")</x:f>
      </x:c>
      <x:c r="Z95" s="37" t="str">
        <x:f>IF(AND($I95&lt;=Z$4+6,$J95&gt;=Z$4),IF(OR($C95="Milestone",$C95="Gate"),"◆","■"),"")</x:f>
      </x:c>
      <x:c r="AA95" s="37" t="str">
        <x:f>IF(AND($I95&lt;=AA$4+6,$J95&gt;=AA$4),IF(OR($C95="Milestone",$C95="Gate"),"◆","■"),"")</x:f>
      </x:c>
      <x:c r="AB95" s="37" t="str">
        <x:f>IF(AND($I95&lt;=AB$4+6,$J95&gt;=AB$4),IF(OR($C95="Milestone",$C95="Gate"),"◆","■"),"")</x:f>
        <x:v>■</x:v>
      </x:c>
      <x:c r="AC95" s="37" t="str">
        <x:f>IF(AND($I95&lt;=AC$4+6,$J95&gt;=AC$4),IF(OR($C95="Milestone",$C95="Gate"),"◆","■"),"")</x:f>
      </x:c>
    </x:row>
    <x:row r="96" ht="34" customHeight="1">
      <x:c r="A96" s="24" t="str">
        <x:v>C07</x:v>
      </x:c>
      <x:c r="B96" s="24" t="str">
        <x:v>Completion</x:v>
      </x:c>
      <x:c r="C96" s="24" t="str">
        <x:v>Task</x:v>
      </x:c>
      <x:c r="D96" s="24" t="str">
        <x:v>Delivery support</x:v>
      </x:c>
      <x:c r="E96" s="24" t="str">
        <x:v>Prepare stable demo build and backup deployment</x:v>
      </x:c>
      <x:c r="F96" s="24" t="str">
        <x:v>Syed Muhtasim Alam</x:v>
      </x:c>
      <x:c r="G96" s="24" t="str">
        <x:v>Abdullah</x:v>
      </x:c>
      <x:c r="H96" s="25" t="n">
        <x:v>4</x:v>
      </x:c>
      <x:c r="I96" s="26" t="n">
        <x:v>46402</x:v>
      </x:c>
      <x:c r="J96" s="26" t="n">
        <x:v>46404</x:v>
      </x:c>
      <x:c r="K96" s="24" t="str">
        <x:v>C02,C04</x:v>
      </x:c>
      <x:c r="L96" s="24" t="str">
        <x:v>Not started</x:v>
      </x:c>
      <x:c r="M96" s="24" t="str">
        <x:v>Primary and backup environments verified</x:v>
      </x:c>
      <x:c r="N96" s="24" t="str">
        <x:v>Sandbox payment only; no real-money dependency</x:v>
      </x:c>
      <x:c r="O96" s="38" t="str">
        <x:f>IF(AND($I96&lt;=O$4+6,$J96&gt;=O$4),IF(OR($C96="Milestone",$C96="Gate"),"◆","■"),"")</x:f>
      </x:c>
      <x:c r="P96" s="38" t="str">
        <x:f>IF(AND($I96&lt;=P$4+6,$J96&gt;=P$4),IF(OR($C96="Milestone",$C96="Gate"),"◆","■"),"")</x:f>
      </x:c>
      <x:c r="Q96" s="38" t="str">
        <x:f>IF(AND($I96&lt;=Q$4+6,$J96&gt;=Q$4),IF(OR($C96="Milestone",$C96="Gate"),"◆","■"),"")</x:f>
      </x:c>
      <x:c r="R96" s="38" t="str">
        <x:f>IF(AND($I96&lt;=R$4+6,$J96&gt;=R$4),IF(OR($C96="Milestone",$C96="Gate"),"◆","■"),"")</x:f>
      </x:c>
      <x:c r="S96" s="38" t="str">
        <x:f>IF(AND($I96&lt;=S$4+6,$J96&gt;=S$4),IF(OR($C96="Milestone",$C96="Gate"),"◆","■"),"")</x:f>
      </x:c>
      <x:c r="T96" s="38" t="str">
        <x:f>IF(AND($I96&lt;=T$4+6,$J96&gt;=T$4),IF(OR($C96="Milestone",$C96="Gate"),"◆","■"),"")</x:f>
      </x:c>
      <x:c r="U96" s="38" t="str">
        <x:f>IF(AND($I96&lt;=U$4+6,$J96&gt;=U$4),IF(OR($C96="Milestone",$C96="Gate"),"◆","■"),"")</x:f>
      </x:c>
      <x:c r="V96" s="38" t="str">
        <x:f>IF(AND($I96&lt;=V$4+6,$J96&gt;=V$4),IF(OR($C96="Milestone",$C96="Gate"),"◆","■"),"")</x:f>
      </x:c>
      <x:c r="W96" s="38" t="str">
        <x:f>IF(AND($I96&lt;=W$4+6,$J96&gt;=W$4),IF(OR($C96="Milestone",$C96="Gate"),"◆","■"),"")</x:f>
      </x:c>
      <x:c r="X96" s="38" t="str">
        <x:f>IF(AND($I96&lt;=X$4+6,$J96&gt;=X$4),IF(OR($C96="Milestone",$C96="Gate"),"◆","■"),"")</x:f>
      </x:c>
      <x:c r="Y96" s="38" t="str">
        <x:f>IF(AND($I96&lt;=Y$4+6,$J96&gt;=Y$4),IF(OR($C96="Milestone",$C96="Gate"),"◆","■"),"")</x:f>
      </x:c>
      <x:c r="Z96" s="38" t="str">
        <x:f>IF(AND($I96&lt;=Z$4+6,$J96&gt;=Z$4),IF(OR($C96="Milestone",$C96="Gate"),"◆","■"),"")</x:f>
      </x:c>
      <x:c r="AA96" s="38" t="str">
        <x:f>IF(AND($I96&lt;=AA$4+6,$J96&gt;=AA$4),IF(OR($C96="Milestone",$C96="Gate"),"◆","■"),"")</x:f>
      </x:c>
      <x:c r="AB96" s="38" t="str">
        <x:f>IF(AND($I96&lt;=AB$4+6,$J96&gt;=AB$4),IF(OR($C96="Milestone",$C96="Gate"),"◆","■"),"")</x:f>
        <x:v>■</x:v>
      </x:c>
      <x:c r="AC96" s="38" t="str">
        <x:f>IF(AND($I96&lt;=AC$4+6,$J96&gt;=AC$4),IF(OR($C96="Milestone",$C96="Gate"),"◆","■"),"")</x:f>
      </x:c>
    </x:row>
    <x:row r="97" ht="34" customHeight="1">
      <x:c r="A97" s="24" t="str">
        <x:v>C08</x:v>
      </x:c>
      <x:c r="B97" s="24" t="str">
        <x:v>Completion</x:v>
      </x:c>
      <x:c r="C97" s="24" t="str">
        <x:v>Task</x:v>
      </x:c>
      <x:c r="D97" s="24" t="str">
        <x:v>Presentation UI</x:v>
      </x:c>
      <x:c r="E97" s="24" t="str">
        <x:v>Prepare final screenshots and bilingual demo data</x:v>
      </x:c>
      <x:c r="F97" s="24" t="str">
        <x:v>Abdullah Bin Sorwar Choudhury</x:v>
      </x:c>
      <x:c r="G97" s="24" t="str">
        <x:v>Shahriar</x:v>
      </x:c>
      <x:c r="H97" s="25" t="n">
        <x:v>4</x:v>
      </x:c>
      <x:c r="I97" s="26" t="n">
        <x:v>46402</x:v>
      </x:c>
      <x:c r="J97" s="26" t="n">
        <x:v>46404</x:v>
      </x:c>
      <x:c r="K97" s="24" t="str">
        <x:v>C01,C03</x:v>
      </x:c>
      <x:c r="L97" s="24" t="str">
        <x:v>Not started</x:v>
      </x:c>
      <x:c r="M97" s="24" t="str">
        <x:v>Screens and data match release candidate</x:v>
      </x:c>
      <x:c r="N97" s="24" t="str">
        <x:v>No fake live claims</x:v>
      </x:c>
      <x:c r="O97" s="37" t="str">
        <x:f>IF(AND($I97&lt;=O$4+6,$J97&gt;=O$4),IF(OR($C97="Milestone",$C97="Gate"),"◆","■"),"")</x:f>
      </x:c>
      <x:c r="P97" s="37" t="str">
        <x:f>IF(AND($I97&lt;=P$4+6,$J97&gt;=P$4),IF(OR($C97="Milestone",$C97="Gate"),"◆","■"),"")</x:f>
      </x:c>
      <x:c r="Q97" s="37" t="str">
        <x:f>IF(AND($I97&lt;=Q$4+6,$J97&gt;=Q$4),IF(OR($C97="Milestone",$C97="Gate"),"◆","■"),"")</x:f>
      </x:c>
      <x:c r="R97" s="37" t="str">
        <x:f>IF(AND($I97&lt;=R$4+6,$J97&gt;=R$4),IF(OR($C97="Milestone",$C97="Gate"),"◆","■"),"")</x:f>
      </x:c>
      <x:c r="S97" s="37" t="str">
        <x:f>IF(AND($I97&lt;=S$4+6,$J97&gt;=S$4),IF(OR($C97="Milestone",$C97="Gate"),"◆","■"),"")</x:f>
      </x:c>
      <x:c r="T97" s="37" t="str">
        <x:f>IF(AND($I97&lt;=T$4+6,$J97&gt;=T$4),IF(OR($C97="Milestone",$C97="Gate"),"◆","■"),"")</x:f>
      </x:c>
      <x:c r="U97" s="37" t="str">
        <x:f>IF(AND($I97&lt;=U$4+6,$J97&gt;=U$4),IF(OR($C97="Milestone",$C97="Gate"),"◆","■"),"")</x:f>
      </x:c>
      <x:c r="V97" s="37" t="str">
        <x:f>IF(AND($I97&lt;=V$4+6,$J97&gt;=V$4),IF(OR($C97="Milestone",$C97="Gate"),"◆","■"),"")</x:f>
      </x:c>
      <x:c r="W97" s="37" t="str">
        <x:f>IF(AND($I97&lt;=W$4+6,$J97&gt;=W$4),IF(OR($C97="Milestone",$C97="Gate"),"◆","■"),"")</x:f>
      </x:c>
      <x:c r="X97" s="37" t="str">
        <x:f>IF(AND($I97&lt;=X$4+6,$J97&gt;=X$4),IF(OR($C97="Milestone",$C97="Gate"),"◆","■"),"")</x:f>
      </x:c>
      <x:c r="Y97" s="37" t="str">
        <x:f>IF(AND($I97&lt;=Y$4+6,$J97&gt;=Y$4),IF(OR($C97="Milestone",$C97="Gate"),"◆","■"),"")</x:f>
      </x:c>
      <x:c r="Z97" s="37" t="str">
        <x:f>IF(AND($I97&lt;=Z$4+6,$J97&gt;=Z$4),IF(OR($C97="Milestone",$C97="Gate"),"◆","■"),"")</x:f>
      </x:c>
      <x:c r="AA97" s="37" t="str">
        <x:f>IF(AND($I97&lt;=AA$4+6,$J97&gt;=AA$4),IF(OR($C97="Milestone",$C97="Gate"),"◆","■"),"")</x:f>
      </x:c>
      <x:c r="AB97" s="37" t="str">
        <x:f>IF(AND($I97&lt;=AB$4+6,$J97&gt;=AB$4),IF(OR($C97="Milestone",$C97="Gate"),"◆","■"),"")</x:f>
        <x:v>■</x:v>
      </x:c>
      <x:c r="AC97" s="37" t="str">
        <x:f>IF(AND($I97&lt;=AC$4+6,$J97&gt;=AC$4),IF(OR($C97="Milestone",$C97="Gate"),"◆","■"),"")</x:f>
      </x:c>
    </x:row>
    <x:row r="98" ht="34" customHeight="1">
      <x:c r="A98" s="34" t="str">
        <x:v>M4</x:v>
      </x:c>
      <x:c r="B98" s="34" t="str">
        <x:v>Completion</x:v>
      </x:c>
      <x:c r="C98" s="34" t="str">
        <x:v>Milestone</x:v>
      </x:c>
      <x:c r="D98" s="34" t="str">
        <x:v>Gate</x:v>
      </x:c>
      <x:c r="E98" s="34" t="str">
        <x:v>Final project completion</x:v>
      </x:c>
      <x:c r="F98" s="34" t="str">
        <x:v>Shahriar Islam</x:v>
      </x:c>
      <x:c r="G98" s="34" t="str">
        <x:v>All</x:v>
      </x:c>
      <x:c r="H98" s="35" t="n">
        <x:v>1</x:v>
      </x:c>
      <x:c r="I98" s="36" t="n">
        <x:v>46404</x:v>
      </x:c>
      <x:c r="J98" s="36" t="n">
        <x:v>46405</x:v>
      </x:c>
      <x:c r="K98" s="34" t="str">
        <x:v>C04,C06,C07,C08</x:v>
      </x:c>
      <x:c r="L98" s="34" t="str">
        <x:v>Not started</x:v>
      </x:c>
      <x:c r="M98" s="34" t="str">
        <x:v>Project completed by 17/18 Jan 2027</x:v>
      </x:c>
      <x:c r="N98" s="34" t="str">
        <x:v>Fixed milestone</x:v>
      </x:c>
      <x:c r="O98" s="39" t="str">
        <x:f>IF(AND($I98&lt;=O$4+6,$J98&gt;=O$4),IF(OR($C98="Milestone",$C98="Gate"),"◆","■"),"")</x:f>
      </x:c>
      <x:c r="P98" s="39" t="str">
        <x:f>IF(AND($I98&lt;=P$4+6,$J98&gt;=P$4),IF(OR($C98="Milestone",$C98="Gate"),"◆","■"),"")</x:f>
      </x:c>
      <x:c r="Q98" s="39" t="str">
        <x:f>IF(AND($I98&lt;=Q$4+6,$J98&gt;=Q$4),IF(OR($C98="Milestone",$C98="Gate"),"◆","■"),"")</x:f>
      </x:c>
      <x:c r="R98" s="39" t="str">
        <x:f>IF(AND($I98&lt;=R$4+6,$J98&gt;=R$4),IF(OR($C98="Milestone",$C98="Gate"),"◆","■"),"")</x:f>
      </x:c>
      <x:c r="S98" s="39" t="str">
        <x:f>IF(AND($I98&lt;=S$4+6,$J98&gt;=S$4),IF(OR($C98="Milestone",$C98="Gate"),"◆","■"),"")</x:f>
      </x:c>
      <x:c r="T98" s="39" t="str">
        <x:f>IF(AND($I98&lt;=T$4+6,$J98&gt;=T$4),IF(OR($C98="Milestone",$C98="Gate"),"◆","■"),"")</x:f>
      </x:c>
      <x:c r="U98" s="39" t="str">
        <x:f>IF(AND($I98&lt;=U$4+6,$J98&gt;=U$4),IF(OR($C98="Milestone",$C98="Gate"),"◆","■"),"")</x:f>
      </x:c>
      <x:c r="V98" s="39" t="str">
        <x:f>IF(AND($I98&lt;=V$4+6,$J98&gt;=V$4),IF(OR($C98="Milestone",$C98="Gate"),"◆","■"),"")</x:f>
      </x:c>
      <x:c r="W98" s="39" t="str">
        <x:f>IF(AND($I98&lt;=W$4+6,$J98&gt;=W$4),IF(OR($C98="Milestone",$C98="Gate"),"◆","■"),"")</x:f>
      </x:c>
      <x:c r="X98" s="39" t="str">
        <x:f>IF(AND($I98&lt;=X$4+6,$J98&gt;=X$4),IF(OR($C98="Milestone",$C98="Gate"),"◆","■"),"")</x:f>
      </x:c>
      <x:c r="Y98" s="39" t="str">
        <x:f>IF(AND($I98&lt;=Y$4+6,$J98&gt;=Y$4),IF(OR($C98="Milestone",$C98="Gate"),"◆","■"),"")</x:f>
      </x:c>
      <x:c r="Z98" s="39" t="str">
        <x:f>IF(AND($I98&lt;=Z$4+6,$J98&gt;=Z$4),IF(OR($C98="Milestone",$C98="Gate"),"◆","■"),"")</x:f>
      </x:c>
      <x:c r="AA98" s="39" t="str">
        <x:f>IF(AND($I98&lt;=AA$4+6,$J98&gt;=AA$4),IF(OR($C98="Milestone",$C98="Gate"),"◆","■"),"")</x:f>
      </x:c>
      <x:c r="AB98" s="39" t="str">
        <x:f>IF(AND($I98&lt;=AB$4+6,$J98&gt;=AB$4),IF(OR($C98="Milestone",$C98="Gate"),"◆","■"),"")</x:f>
        <x:v>◆</x:v>
      </x:c>
      <x:c r="AC98" s="39" t="str">
        <x:f>IF(AND($I98&lt;=AC$4+6,$J98&gt;=AC$4),IF(OR($C98="Milestone",$C98="Gate"),"◆","■"),"")</x:f>
        <x:v>◆</x:v>
      </x:c>
    </x:row>
    <x:row r="99" ht="15.75" customHeight="1"/>
    <x:row r="100" ht="15.75" customHeight="1"/>
    <x:row r="101" ht="28" customHeight="1">
      <x:c r="A101" s="54" t="str">
        <x:v>Workload balance — primary-owner effort points</x:v>
      </x:c>
      <x:c r="B101" s="54"/>
      <x:c r="C101" s="54"/>
      <x:c r="D101" s="54"/>
      <x:c r="E101" s="54"/>
      <x:c r="F101" s="54"/>
      <x:c r="G101" s="54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  <x:c r="AA101" s="55"/>
      <x:c r="AB101" s="55"/>
      <x:c r="AC101" s="55"/>
    </x:row>
    <x:row r="102" ht="28" customHeight="1">
      <x:c r="A102" s="56" t="str">
        <x:v>Owner</x:v>
      </x:c>
      <x:c r="B102" s="56" t="str">
        <x:v>Role</x:v>
      </x:c>
      <x:c r="C102" s="56" t="str">
        <x:v>Primary tasks</x:v>
      </x:c>
      <x:c r="D102" s="56" t="str">
        <x:v>Effort points</x:v>
      </x:c>
      <x:c r="E102" s="56" t="str">
        <x:v>Share</x:v>
      </x:c>
      <x:c r="F102" s="56"/>
      <x:c r="G102" s="56" t="str">
        <x:v>Balance check</x:v>
      </x:c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  <x:c r="AA102" s="57"/>
      <x:c r="AB102" s="57"/>
      <x:c r="AC102" s="57"/>
    </x:row>
    <x:row r="103" ht="28" customHeight="1">
      <x:c r="A103" s="50" t="str">
        <x:v>Shahriar Islam</x:v>
      </x:c>
      <x:c r="B103" s="50" t="str">
        <x:v>Project leader / content / moderation</x:v>
      </x:c>
      <x:c r="C103" s="51" t="n">
        <x:f>COUNTIF($F$5:$F$98,A103)</x:f>
        <x:v>27</x:v>
      </x:c>
      <x:c r="D103" s="51" t="n">
        <x:f>SUMIF($F$5:$F$98,A103,$H$5:$H$98)</x:f>
        <x:v>117</x:v>
      </x:c>
      <x:c r="E103" s="52" t="n">
        <x:f>D103/SUM($D$103:$D$106)</x:f>
        <x:v>0.25</x:v>
      </x:c>
      <x:c r="F103" s="51"/>
      <x:c r="G103" s="51" t="n">
        <x:f>MAX($D$103:$D$106)-MIN($D$103:$D$106)</x:f>
        <x:v>0</x:v>
      </x:c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  <x:c r="AA103" s="57"/>
      <x:c r="AB103" s="57"/>
      <x:c r="AC103" s="57"/>
    </x:row>
    <x:row r="104" ht="28" customHeight="1">
      <x:c r="A104" s="50" t="str">
        <x:v>Abdullah Bin Sorwar Choudhury</x:v>
      </x:c>
      <x:c r="B104" s="50" t="str">
        <x:v>Frontend / bilingual / offline</x:v>
      </x:c>
      <x:c r="C104" s="51" t="n">
        <x:f>COUNTIF($F$5:$F$98,A104)</x:f>
        <x:v>22</x:v>
      </x:c>
      <x:c r="D104" s="51" t="n">
        <x:f>SUMIF($F$5:$F$98,A104,$H$5:$H$98)</x:f>
        <x:v>117</x:v>
      </x:c>
      <x:c r="E104" s="52" t="n">
        <x:f>D104/SUM($D$103:$D$106)</x:f>
        <x:v>0.25</x:v>
      </x:c>
      <x:c r="F104" s="51"/>
      <x:c r="G104" s="51" t="n">
        <x:f>MAX($D$103:$D$106)-MIN($D$103:$D$106)</x:f>
        <x:v>0</x:v>
      </x:c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  <x:c r="AA104" s="57"/>
      <x:c r="AB104" s="57"/>
      <x:c r="AC104" s="57"/>
    </x:row>
    <x:row r="105" ht="28" customHeight="1">
      <x:c r="A105" s="50" t="str">
        <x:v>Syed Muhtasim Alam</x:v>
      </x:c>
      <x:c r="B105" s="50" t="str">
        <x:v>Backend / data / security</x:v>
      </x:c>
      <x:c r="C105" s="51" t="n">
        <x:f>COUNTIF($F$5:$F$98,A105)</x:f>
        <x:v>22</x:v>
      </x:c>
      <x:c r="D105" s="51" t="n">
        <x:f>SUMIF($F$5:$F$98,A105,$H$5:$H$98)</x:f>
        <x:v>117</x:v>
      </x:c>
      <x:c r="E105" s="52" t="n">
        <x:f>D105/SUM($D$103:$D$106)</x:f>
        <x:v>0.25</x:v>
      </x:c>
      <x:c r="F105" s="51"/>
      <x:c r="G105" s="51" t="n">
        <x:f>MAX($D$103:$D$106)-MIN($D$103:$D$106)</x:f>
        <x:v>0</x:v>
      </x:c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  <x:c r="AA105" s="57"/>
      <x:c r="AB105" s="57"/>
      <x:c r="AC105" s="57"/>
    </x:row>
    <x:row r="106" ht="28" customHeight="1">
      <x:c r="A106" s="50" t="str">
        <x:v>Md. Irfan Iqbal</x:v>
      </x:c>
      <x:c r="B106" s="50" t="str">
        <x:v>SQA / test management</x:v>
      </x:c>
      <x:c r="C106" s="51" t="n">
        <x:f>COUNTIF($F$5:$F$98,A106)</x:f>
        <x:v>23</x:v>
      </x:c>
      <x:c r="D106" s="51" t="n">
        <x:f>SUMIF($F$5:$F$98,A106,$H$5:$H$98)</x:f>
        <x:v>117</x:v>
      </x:c>
      <x:c r="E106" s="52" t="n">
        <x:f>D106/SUM($D$103:$D$106)</x:f>
        <x:v>0.25</x:v>
      </x:c>
      <x:c r="F106" s="51"/>
      <x:c r="G106" s="51" t="n">
        <x:f>MAX($D$103:$D$106)-MIN($D$103:$D$106)</x:f>
        <x:v>0</x:v>
      </x:c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  <x:c r="AA106" s="57"/>
      <x:c r="AB106" s="57"/>
      <x:c r="AC106" s="57"/>
    </x:row>
    <x:row r="107" ht="38" customHeight="1">
      <x:c r="A107" s="58" t="str">
        <x:v>Workload note</x:v>
      </x:c>
      <x:c r="B107" s="58" t="str">
        <x:v>Primary effort is 117 points per member; each member holds 25.0%. Task counts differ because effort, not task quantity, is balanced.</x:v>
      </x:c>
      <x:c r="C107" s="58"/>
      <x:c r="D107" s="58"/>
      <x:c r="E107" s="58"/>
      <x:c r="F107" s="58"/>
      <x:c r="G107" s="58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  <x:c r="AA107" s="57"/>
      <x:c r="AB107" s="57"/>
      <x:c r="AC107" s="57"/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</x:sheetData>
  <x:mergeCells>
    <x:mergeCell ref="A1:D1"/>
    <x:mergeCell ref="A2:D2"/>
    <x:mergeCell ref="A3:D3"/>
    <x:mergeCell ref="O3:AC3"/>
    <x:mergeCell ref="A101:AC101"/>
  </x:mergeCells>
  <x:conditionalFormatting sqref="L5:L78">
    <x:cfRule type="expression" dxfId="0" priority="1" stopIfTrue="1">
      <x:formula>$L5="Blocked"</x:formula>
    </x:cfRule>
  </x:conditionalFormatting>
  <x:conditionalFormatting sqref="L5:L78">
    <x:cfRule type="expression" dxfId="1" priority="2" stopIfTrue="1">
      <x:formula>$L5="At risk"</x:formula>
    </x:cfRule>
  </x:conditionalFormatting>
  <x:conditionalFormatting sqref="L5:L78">
    <x:cfRule type="expression" dxfId="2" priority="3" stopIfTrue="1">
      <x:formula>$L5="In progress"</x:formula>
    </x:cfRule>
  </x:conditionalFormatting>
  <x:conditionalFormatting sqref="L5:L78">
    <x:cfRule type="expression" dxfId="3" priority="4" stopIfTrue="1">
      <x:formula>$L5="Completed"</x:formula>
    </x:cfRule>
  </x:conditionalFormatting>
  <x:conditionalFormatting sqref="O5:AC78">
    <x:cfRule type="expression" dxfId="4" priority="5" stopIfTrue="1">
      <x:formula>O5="◆"</x:formula>
    </x:cfRule>
  </x:conditionalFormatting>
  <x:conditionalFormatting sqref="O5:AC78">
    <x:cfRule type="expression" dxfId="5" priority="6" stopIfTrue="1">
      <x:formula>O5="■"</x:formula>
    </x:cfRule>
  </x:conditionalFormatting>
  <x:conditionalFormatting sqref="A5:N78">
    <x:cfRule type="expression" dxfId="6" priority="7" stopIfTrue="1">
      <x:formula>OR($C5="Milestone",$C5="Gate")</x:formula>
    </x:cfRule>
  </x:conditionalFormatting>
  <x:conditionalFormatting sqref="A5:N78">
    <x:cfRule type="expression" dxfId="7" priority="8" stopIfTrue="1">
      <x:formula>ISEVEN(ROW())</x:formula>
    </x:cfRule>
  </x:conditionalFormatting>
  <x:dataValidations count="4">
    <x:dataValidation type="decimal" allowBlank="1" showDropDown="1" showErrorMessage="1" sqref="H5:H78">
      <x:formula1>1.0</x:formula1>
      <x:formula2>7.0</x:formula2>
    </x:dataValidation>
    <x:dataValidation type="list" allowBlank="1" showErrorMessage="1" sqref="C5:C78">
      <x:formula1>"Task,Gate,Milestone"</x:formula1>
    </x:dataValidation>
    <x:dataValidation type="list" allowBlank="1" showErrorMessage="1" sqref="F5:F78">
      <x:formula1>"Shahriar Islam,Abdullah Bin Sorwar Choudhury,Syed Muhtasim Alam,Md. Irfan Iqbal"</x:formula1>
    </x:dataValidation>
    <x:dataValidation type="list" sqref="L5:L98">
      <x:formula1>"Not started,In progress,Blocked,Complete"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cdde117e104770"/>
  </x:tableParts>
</x:worksheet>
</file>